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100" yWindow="100" windowWidth="33400" windowHeight="20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46" i="1" l="1"/>
  <c r="P46" i="1"/>
  <c r="Q46" i="1"/>
  <c r="O46" i="1"/>
  <c r="N46" i="1"/>
  <c r="R45" i="1"/>
  <c r="P45" i="1"/>
  <c r="Q45" i="1"/>
  <c r="O45" i="1"/>
  <c r="N45" i="1"/>
  <c r="R44" i="1"/>
  <c r="P44" i="1"/>
  <c r="Q44" i="1"/>
  <c r="O44" i="1"/>
  <c r="N44" i="1"/>
  <c r="R43" i="1"/>
  <c r="P43" i="1"/>
  <c r="Q43" i="1"/>
  <c r="O43" i="1"/>
  <c r="N43" i="1"/>
  <c r="R42" i="1"/>
  <c r="P42" i="1"/>
  <c r="Q42" i="1"/>
  <c r="O42" i="1"/>
  <c r="N42" i="1"/>
  <c r="R41" i="1"/>
  <c r="P41" i="1"/>
  <c r="Q41" i="1"/>
  <c r="O41" i="1"/>
  <c r="N41" i="1"/>
  <c r="R40" i="1"/>
  <c r="P40" i="1"/>
  <c r="Q40" i="1"/>
  <c r="O40" i="1"/>
  <c r="N40" i="1"/>
  <c r="R39" i="1"/>
  <c r="P39" i="1"/>
  <c r="Q39" i="1"/>
  <c r="O39" i="1"/>
  <c r="N39" i="1"/>
  <c r="R38" i="1"/>
  <c r="P38" i="1"/>
  <c r="Q38" i="1"/>
  <c r="O38" i="1"/>
  <c r="N38" i="1"/>
  <c r="N37" i="1"/>
  <c r="O37" i="1"/>
  <c r="Q37" i="1"/>
  <c r="P37" i="1"/>
  <c r="R37" i="1"/>
  <c r="N36" i="1"/>
  <c r="O36" i="1"/>
  <c r="Q36" i="1"/>
  <c r="P36" i="1"/>
  <c r="R36" i="1"/>
  <c r="N16" i="1"/>
  <c r="N22" i="1"/>
  <c r="O22" i="1"/>
  <c r="Q22" i="1"/>
  <c r="P22" i="1"/>
  <c r="R22" i="1"/>
  <c r="N23" i="1"/>
  <c r="O23" i="1"/>
  <c r="Q23" i="1"/>
  <c r="P23" i="1"/>
  <c r="R23" i="1"/>
  <c r="N24" i="1"/>
  <c r="O24" i="1"/>
  <c r="Q24" i="1"/>
  <c r="P24" i="1"/>
  <c r="R24" i="1"/>
  <c r="N25" i="1"/>
  <c r="O25" i="1"/>
  <c r="Q25" i="1"/>
  <c r="P25" i="1"/>
  <c r="R25" i="1"/>
  <c r="N26" i="1"/>
  <c r="O26" i="1"/>
  <c r="Q26" i="1"/>
  <c r="P26" i="1"/>
  <c r="R26" i="1"/>
  <c r="N27" i="1"/>
  <c r="O27" i="1"/>
  <c r="Q27" i="1"/>
  <c r="P27" i="1"/>
  <c r="R27" i="1"/>
  <c r="N28" i="1"/>
  <c r="O28" i="1"/>
  <c r="Q28" i="1"/>
  <c r="P28" i="1"/>
  <c r="R28" i="1"/>
  <c r="N29" i="1"/>
  <c r="O29" i="1"/>
  <c r="Q29" i="1"/>
  <c r="P29" i="1"/>
  <c r="R29" i="1"/>
  <c r="N30" i="1"/>
  <c r="O30" i="1"/>
  <c r="Q30" i="1"/>
  <c r="P30" i="1"/>
  <c r="R30" i="1"/>
  <c r="N31" i="1"/>
  <c r="O31" i="1"/>
  <c r="Q31" i="1"/>
  <c r="P31" i="1"/>
  <c r="R31" i="1"/>
  <c r="N32" i="1"/>
  <c r="O32" i="1"/>
  <c r="Q32" i="1"/>
  <c r="P32" i="1"/>
  <c r="R32" i="1"/>
  <c r="N33" i="1"/>
  <c r="O33" i="1"/>
  <c r="Q33" i="1"/>
  <c r="P33" i="1"/>
  <c r="R33" i="1"/>
  <c r="N34" i="1"/>
  <c r="O34" i="1"/>
  <c r="Q34" i="1"/>
  <c r="P34" i="1"/>
  <c r="R34" i="1"/>
  <c r="N35" i="1"/>
  <c r="O35" i="1"/>
  <c r="Q35" i="1"/>
  <c r="P35" i="1"/>
  <c r="R35" i="1"/>
  <c r="N9" i="1"/>
  <c r="N10" i="1"/>
  <c r="O10" i="1"/>
  <c r="Q10" i="1"/>
  <c r="P10" i="1"/>
  <c r="R10" i="1"/>
  <c r="N11" i="1"/>
  <c r="O11" i="1"/>
  <c r="Q11" i="1"/>
  <c r="P11" i="1"/>
  <c r="R11" i="1"/>
  <c r="N12" i="1"/>
  <c r="O12" i="1"/>
  <c r="Q12" i="1"/>
  <c r="P12" i="1"/>
  <c r="R12" i="1"/>
  <c r="N13" i="1"/>
  <c r="O13" i="1"/>
  <c r="Q13" i="1"/>
  <c r="P13" i="1"/>
  <c r="R13" i="1"/>
  <c r="N14" i="1"/>
  <c r="O14" i="1"/>
  <c r="Q14" i="1"/>
  <c r="P14" i="1"/>
  <c r="R14" i="1"/>
  <c r="N15" i="1"/>
  <c r="O15" i="1"/>
  <c r="Q15" i="1"/>
  <c r="P15" i="1"/>
  <c r="R15" i="1"/>
  <c r="O16" i="1"/>
  <c r="Q16" i="1"/>
  <c r="P16" i="1"/>
  <c r="R16" i="1"/>
  <c r="N17" i="1"/>
  <c r="O17" i="1"/>
  <c r="Q17" i="1"/>
  <c r="P17" i="1"/>
  <c r="R17" i="1"/>
  <c r="N18" i="1"/>
  <c r="O18" i="1"/>
  <c r="Q18" i="1"/>
  <c r="P18" i="1"/>
  <c r="R18" i="1"/>
  <c r="N19" i="1"/>
  <c r="O19" i="1"/>
  <c r="Q19" i="1"/>
  <c r="P19" i="1"/>
  <c r="R19" i="1"/>
  <c r="N20" i="1"/>
  <c r="O20" i="1"/>
  <c r="Q20" i="1"/>
  <c r="P20" i="1"/>
  <c r="R20" i="1"/>
  <c r="N21" i="1"/>
  <c r="O21" i="1"/>
  <c r="Q21" i="1"/>
  <c r="P21" i="1"/>
  <c r="R21" i="1"/>
  <c r="R9" i="1"/>
  <c r="P9" i="1"/>
  <c r="Q9" i="1"/>
  <c r="O9" i="1"/>
  <c r="R8" i="1"/>
  <c r="P8" i="1"/>
  <c r="Q8" i="1"/>
  <c r="O8" i="1"/>
  <c r="N8" i="1"/>
  <c r="R4" i="1"/>
  <c r="R5" i="1"/>
  <c r="R6" i="1"/>
  <c r="R7" i="1"/>
  <c r="R3" i="1"/>
  <c r="P4" i="1"/>
  <c r="P5" i="1"/>
  <c r="P6" i="1"/>
  <c r="P7" i="1"/>
  <c r="P3" i="1"/>
  <c r="Q4" i="1"/>
  <c r="Q5" i="1"/>
  <c r="Q6" i="1"/>
  <c r="Q7" i="1"/>
  <c r="Q3" i="1"/>
  <c r="N4" i="1"/>
  <c r="N5" i="1"/>
  <c r="N6" i="1"/>
  <c r="N7" i="1"/>
  <c r="N3" i="1"/>
  <c r="O4" i="1"/>
  <c r="O5" i="1"/>
  <c r="O6" i="1"/>
  <c r="O7" i="1"/>
  <c r="O3" i="1"/>
</calcChain>
</file>

<file path=xl/sharedStrings.xml><?xml version="1.0" encoding="utf-8"?>
<sst xmlns="http://schemas.openxmlformats.org/spreadsheetml/2006/main" count="258" uniqueCount="92">
  <si>
    <t>1c</t>
  </si>
  <si>
    <t>Steps</t>
  </si>
  <si>
    <t>Date</t>
  </si>
  <si>
    <t>Time</t>
  </si>
  <si>
    <t>Calories</t>
  </si>
  <si>
    <t>Active time</t>
  </si>
  <si>
    <t>Input: frames from the activity API</t>
  </si>
  <si>
    <t>AA Date</t>
  </si>
  <si>
    <t>BB Date</t>
  </si>
  <si>
    <t>CC Date</t>
  </si>
  <si>
    <t>DD Frame</t>
  </si>
  <si>
    <t>EE Type</t>
  </si>
  <si>
    <t>FF Cal</t>
  </si>
  <si>
    <t>GG Cal 2</t>
  </si>
  <si>
    <t>HH Steps</t>
  </si>
  <si>
    <t>II Steps 2</t>
  </si>
  <si>
    <t>JJ Active time</t>
  </si>
  <si>
    <t>LL</t>
  </si>
  <si>
    <t>Calculations</t>
  </si>
  <si>
    <t>KK Active time 2</t>
  </si>
  <si>
    <t>MM Frame</t>
  </si>
  <si>
    <t>6f</t>
  </si>
  <si>
    <t>3c</t>
  </si>
  <si>
    <t>1a</t>
  </si>
  <si>
    <t>af</t>
  </si>
  <si>
    <t>f2</t>
  </si>
  <si>
    <t>2c</t>
  </si>
  <si>
    <t>ba</t>
  </si>
  <si>
    <t>da</t>
  </si>
  <si>
    <t>2d</t>
  </si>
  <si>
    <t>2e</t>
  </si>
  <si>
    <t>b0</t>
  </si>
  <si>
    <t>3a</t>
  </si>
  <si>
    <t>8b</t>
  </si>
  <si>
    <t>3b</t>
  </si>
  <si>
    <t>c2</t>
  </si>
  <si>
    <t>3e</t>
  </si>
  <si>
    <t>3f</t>
  </si>
  <si>
    <t>dc</t>
  </si>
  <si>
    <t>a</t>
  </si>
  <si>
    <t>f1</t>
  </si>
  <si>
    <t>d8</t>
  </si>
  <si>
    <t>a6</t>
  </si>
  <si>
    <t>2f</t>
  </si>
  <si>
    <t>3d</t>
  </si>
  <si>
    <t>b</t>
  </si>
  <si>
    <t>eb</t>
  </si>
  <si>
    <t>ea</t>
  </si>
  <si>
    <t>e0</t>
  </si>
  <si>
    <t>7d</t>
  </si>
  <si>
    <t>4a</t>
  </si>
  <si>
    <t>dd</t>
  </si>
  <si>
    <t>7b</t>
  </si>
  <si>
    <t>c6</t>
  </si>
  <si>
    <t>d5</t>
  </si>
  <si>
    <t>d3</t>
  </si>
  <si>
    <t>d2</t>
  </si>
  <si>
    <t>fa</t>
  </si>
  <si>
    <t>1e</t>
  </si>
  <si>
    <t>4e</t>
  </si>
  <si>
    <t>4f</t>
  </si>
  <si>
    <t>f9</t>
  </si>
  <si>
    <t>5c</t>
  </si>
  <si>
    <t>fc</t>
  </si>
  <si>
    <t>b8</t>
  </si>
  <si>
    <t>8c</t>
  </si>
  <si>
    <t>de</t>
  </si>
  <si>
    <t>6a</t>
  </si>
  <si>
    <t>1b</t>
  </si>
  <si>
    <t>c</t>
  </si>
  <si>
    <t>6e</t>
  </si>
  <si>
    <t>9d</t>
  </si>
  <si>
    <t>d</t>
  </si>
  <si>
    <t>1d</t>
  </si>
  <si>
    <t>1f</t>
  </si>
  <si>
    <t>a4</t>
  </si>
  <si>
    <t>5e</t>
  </si>
  <si>
    <t>9f</t>
  </si>
  <si>
    <t>4B5BA</t>
  </si>
  <si>
    <t>2015-11-05 03:01:42.918+00</t>
  </si>
  <si>
    <t>2015-11-05 03:01:43.066+00</t>
  </si>
  <si>
    <t>2015-11-05 03:01:43.155+00</t>
  </si>
  <si>
    <t>SERVER DATA</t>
  </si>
  <si>
    <t>device</t>
  </si>
  <si>
    <t>date</t>
  </si>
  <si>
    <t>time</t>
  </si>
  <si>
    <t>steps</t>
  </si>
  <si>
    <t>duration</t>
  </si>
  <si>
    <t>calories</t>
  </si>
  <si>
    <t>createdAt</t>
  </si>
  <si>
    <t>updatedAt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</si>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</sst>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  <xf numFmtId="18" fontId="0" fillId="2" borderId="0" xfId="0" applyNumberFormat="1" applyFill="1"/>
    <xf numFmtId="0" fontId="0" fillId="2" borderId="0" xfId="0" applyFont="1" applyFill="1"/>
    <xf numFmtId="0" fontId="4" fillId="3" borderId="0" xfId="9"/>
    <xf numFmtId="0" fontId="5" fillId="4" borderId="0" xfId="10"/>
  </cellXfs>
  <cellStyles count="29">
    <cellStyle name="Bad" xfId="10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Good" xfId="9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"/>
  <sheetViews>
    <sheetView tabSelected="1" topLeftCell="F1" workbookViewId="0">
      <pane ySplit="2" topLeftCell="A3" activePane="bottomLeft" state="frozen"/>
      <selection pane="bottomLeft" activeCell="W3" sqref="W3"/>
    </sheetView>
  </sheetViews>
  <sheetFormatPr baseColWidth="10" defaultRowHeight="15" x14ac:dyDescent="0"/>
  <cols>
    <col min="1" max="10" width="10.83203125" style="2"/>
    <col min="11" max="11" width="12.83203125" style="2" customWidth="1"/>
    <col min="12" max="13" width="0" style="2" hidden="1" customWidth="1"/>
    <col min="14" max="16384" width="10.83203125" style="2"/>
  </cols>
  <sheetData>
    <row r="1" spans="1:30">
      <c r="A1" s="1" t="s">
        <v>6</v>
      </c>
      <c r="N1" s="1" t="s">
        <v>18</v>
      </c>
    </row>
    <row r="2" spans="1:30" s="1" customForma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19</v>
      </c>
      <c r="L2" s="1" t="s">
        <v>17</v>
      </c>
      <c r="M2" s="1" t="s">
        <v>20</v>
      </c>
      <c r="N2" s="1" t="s">
        <v>2</v>
      </c>
      <c r="O2" s="1" t="s">
        <v>3</v>
      </c>
      <c r="P2" s="1" t="s">
        <v>1</v>
      </c>
      <c r="Q2" s="1" t="s">
        <v>4</v>
      </c>
      <c r="R2" s="1" t="s">
        <v>5</v>
      </c>
      <c r="T2" s="1" t="s">
        <v>82</v>
      </c>
      <c r="U2" s="5" t="s">
        <v>83</v>
      </c>
      <c r="V2" s="5" t="s">
        <v>84</v>
      </c>
      <c r="W2" s="5" t="s">
        <v>85</v>
      </c>
      <c r="X2" s="5" t="s">
        <v>86</v>
      </c>
      <c r="Y2" s="5" t="s">
        <v>88</v>
      </c>
      <c r="Z2" s="5" t="s">
        <v>87</v>
      </c>
      <c r="AA2" s="5" t="s">
        <v>89</v>
      </c>
      <c r="AB2" s="5" t="s">
        <v>90</v>
      </c>
      <c r="AC2" s="5" t="s">
        <v>91</v>
      </c>
      <c r="AD2" s="5"/>
    </row>
    <row r="3" spans="1:30">
      <c r="A3" s="2">
        <v>15</v>
      </c>
      <c r="B3" s="2">
        <v>11</v>
      </c>
      <c r="C3" s="2">
        <v>3</v>
      </c>
      <c r="D3" s="2">
        <v>18</v>
      </c>
      <c r="E3" s="2">
        <v>0</v>
      </c>
      <c r="F3" s="2">
        <v>23</v>
      </c>
      <c r="G3" s="2">
        <v>0</v>
      </c>
      <c r="H3" s="2">
        <v>11</v>
      </c>
      <c r="I3" s="2">
        <v>0</v>
      </c>
      <c r="J3" s="2">
        <v>8</v>
      </c>
      <c r="K3" s="2">
        <v>0</v>
      </c>
      <c r="L3" s="2">
        <v>0</v>
      </c>
      <c r="M3" s="2">
        <v>18</v>
      </c>
      <c r="N3" s="3">
        <f>DATE(A3,B3,C3)</f>
        <v>5786</v>
      </c>
      <c r="O3" s="4">
        <f>TIME(FLOOR((HEX2DEC(D3)-1)*15/60,1),MOD((HEX2DEC(D3)-1)*15/60,1)*60,)</f>
        <v>0.23958333333333334</v>
      </c>
      <c r="P3" s="2">
        <f>HEX2DEC(I3&amp;H3)</f>
        <v>17</v>
      </c>
      <c r="Q3" s="2">
        <f>HEX2DEC(G3&amp;F3)/100</f>
        <v>0.35</v>
      </c>
      <c r="R3" s="2">
        <f>HEX2DEC(K3&amp;J3)</f>
        <v>8</v>
      </c>
      <c r="T3" s="2">
        <v>11254</v>
      </c>
      <c r="U3" s="2" t="s">
        <v>78</v>
      </c>
      <c r="V3" s="3">
        <v>42311</v>
      </c>
      <c r="W3" s="7">
        <v>615</v>
      </c>
      <c r="X3" s="6">
        <v>17</v>
      </c>
      <c r="Y3" s="7">
        <v>0.08</v>
      </c>
      <c r="Z3" s="7">
        <v>21</v>
      </c>
      <c r="AA3" s="2" t="s">
        <v>79</v>
      </c>
      <c r="AB3" s="2" t="s">
        <v>79</v>
      </c>
      <c r="AC3" s="2">
        <v>179</v>
      </c>
    </row>
    <row r="4" spans="1:30">
      <c r="A4" s="2">
        <v>15</v>
      </c>
      <c r="B4" s="2">
        <v>11</v>
      </c>
      <c r="C4" s="2">
        <v>3</v>
      </c>
      <c r="D4" s="2">
        <v>19</v>
      </c>
      <c r="E4" s="2">
        <v>0</v>
      </c>
      <c r="F4" s="2" t="s">
        <v>21</v>
      </c>
      <c r="G4" s="2">
        <v>4</v>
      </c>
      <c r="H4" s="2">
        <v>28</v>
      </c>
      <c r="I4" s="2">
        <v>2</v>
      </c>
      <c r="J4" s="2" t="s">
        <v>22</v>
      </c>
      <c r="K4" s="2">
        <v>1</v>
      </c>
      <c r="L4" s="2">
        <v>0</v>
      </c>
      <c r="M4" s="2">
        <v>19</v>
      </c>
      <c r="N4" s="3">
        <f t="shared" ref="N4:N9" si="0">DATE(A4,B4,C4)</f>
        <v>5786</v>
      </c>
      <c r="O4" s="4">
        <f t="shared" ref="O4:O29" si="1">TIME(FLOOR((HEX2DEC(D4)-1)*15/60,1),MOD((HEX2DEC(D4)-1)*15/60,1)*60,)</f>
        <v>0.25</v>
      </c>
      <c r="P4" s="2">
        <f>HEX2DEC(I4&amp;H4)</f>
        <v>552</v>
      </c>
      <c r="Q4" s="2">
        <f t="shared" ref="Q4:Q10" si="2">HEX2DEC(G4&amp;F4)/100</f>
        <v>11.35</v>
      </c>
      <c r="R4" s="2">
        <f t="shared" ref="R4:R10" si="3">HEX2DEC(K4&amp;J4)</f>
        <v>316</v>
      </c>
      <c r="T4" s="2">
        <v>11255</v>
      </c>
      <c r="U4" s="2" t="s">
        <v>78</v>
      </c>
      <c r="V4" s="3">
        <v>42311</v>
      </c>
      <c r="W4" s="7">
        <v>630</v>
      </c>
      <c r="X4" s="6">
        <v>552</v>
      </c>
      <c r="Y4" s="7">
        <v>3.16</v>
      </c>
      <c r="Z4" s="7">
        <v>681</v>
      </c>
      <c r="AA4" s="2" t="s">
        <v>79</v>
      </c>
      <c r="AB4" s="2" t="s">
        <v>79</v>
      </c>
      <c r="AC4" s="2">
        <v>179</v>
      </c>
    </row>
    <row r="5" spans="1:30">
      <c r="A5" s="2">
        <v>15</v>
      </c>
      <c r="B5" s="2">
        <v>11</v>
      </c>
      <c r="C5" s="2">
        <v>3</v>
      </c>
      <c r="D5" s="2" t="s">
        <v>23</v>
      </c>
      <c r="E5" s="2">
        <v>0</v>
      </c>
      <c r="F5" s="2">
        <v>57</v>
      </c>
      <c r="G5" s="2">
        <v>3</v>
      </c>
      <c r="H5" s="2" t="s">
        <v>24</v>
      </c>
      <c r="I5" s="2">
        <v>1</v>
      </c>
      <c r="J5" s="2" t="s">
        <v>25</v>
      </c>
      <c r="K5" s="2">
        <v>0</v>
      </c>
      <c r="L5" s="2">
        <v>0</v>
      </c>
      <c r="M5" s="2" t="s">
        <v>23</v>
      </c>
      <c r="N5" s="3">
        <f t="shared" si="0"/>
        <v>5786</v>
      </c>
      <c r="O5" s="4">
        <f t="shared" si="1"/>
        <v>0.26041666666666669</v>
      </c>
      <c r="P5" s="2">
        <f>HEX2DEC(I5&amp;H5)</f>
        <v>431</v>
      </c>
      <c r="Q5" s="2">
        <f t="shared" si="2"/>
        <v>8.5500000000000007</v>
      </c>
      <c r="R5" s="2">
        <f t="shared" si="3"/>
        <v>242</v>
      </c>
      <c r="T5" s="2">
        <v>11256</v>
      </c>
      <c r="U5" s="2" t="s">
        <v>78</v>
      </c>
      <c r="V5" s="3">
        <v>42311</v>
      </c>
      <c r="W5" s="7">
        <v>645</v>
      </c>
      <c r="X5" s="6">
        <v>431</v>
      </c>
      <c r="Y5" s="7">
        <v>2.42</v>
      </c>
      <c r="Z5" s="7">
        <v>513</v>
      </c>
      <c r="AA5" s="2" t="s">
        <v>79</v>
      </c>
      <c r="AB5" s="2" t="s">
        <v>79</v>
      </c>
      <c r="AC5" s="2">
        <v>179</v>
      </c>
    </row>
    <row r="6" spans="1:30">
      <c r="A6" s="2">
        <v>15</v>
      </c>
      <c r="B6" s="2">
        <v>11</v>
      </c>
      <c r="C6" s="2">
        <v>3</v>
      </c>
      <c r="D6" s="2" t="s">
        <v>26</v>
      </c>
      <c r="E6" s="2">
        <v>0</v>
      </c>
      <c r="F6" s="2" t="s">
        <v>27</v>
      </c>
      <c r="G6" s="2">
        <v>2</v>
      </c>
      <c r="H6" s="2" t="s">
        <v>21</v>
      </c>
      <c r="I6" s="2">
        <v>1</v>
      </c>
      <c r="J6" s="2" t="s">
        <v>28</v>
      </c>
      <c r="K6" s="2">
        <v>0</v>
      </c>
      <c r="L6" s="2">
        <v>0</v>
      </c>
      <c r="M6" s="2" t="s">
        <v>26</v>
      </c>
      <c r="N6" s="3">
        <f t="shared" si="0"/>
        <v>5786</v>
      </c>
      <c r="O6" s="4">
        <f t="shared" si="1"/>
        <v>0.44791666666666669</v>
      </c>
      <c r="P6" s="2">
        <f>HEX2DEC(I6&amp;H6)</f>
        <v>367</v>
      </c>
      <c r="Q6" s="2">
        <f t="shared" si="2"/>
        <v>6.98</v>
      </c>
      <c r="R6" s="2">
        <f t="shared" si="3"/>
        <v>218</v>
      </c>
      <c r="T6" s="2">
        <v>11257</v>
      </c>
      <c r="U6" s="2" t="s">
        <v>78</v>
      </c>
      <c r="V6" s="3">
        <v>42311</v>
      </c>
      <c r="W6" s="7">
        <v>1115</v>
      </c>
      <c r="X6" s="6">
        <v>367</v>
      </c>
      <c r="Y6" s="7">
        <v>2.1800000000000002</v>
      </c>
      <c r="Z6" s="7">
        <v>419</v>
      </c>
      <c r="AA6" s="2" t="s">
        <v>79</v>
      </c>
      <c r="AB6" s="2" t="s">
        <v>79</v>
      </c>
      <c r="AC6" s="2">
        <v>179</v>
      </c>
    </row>
    <row r="7" spans="1:30">
      <c r="A7" s="2">
        <v>15</v>
      </c>
      <c r="B7" s="2">
        <v>11</v>
      </c>
      <c r="C7" s="2">
        <v>3</v>
      </c>
      <c r="D7" s="2" t="s">
        <v>29</v>
      </c>
      <c r="E7" s="2">
        <v>0</v>
      </c>
      <c r="F7" s="2">
        <v>22</v>
      </c>
      <c r="G7" s="2">
        <v>5</v>
      </c>
      <c r="H7" s="2">
        <v>72</v>
      </c>
      <c r="I7" s="2">
        <v>2</v>
      </c>
      <c r="J7" s="2">
        <v>73</v>
      </c>
      <c r="K7" s="2">
        <v>1</v>
      </c>
      <c r="L7" s="2">
        <v>0</v>
      </c>
      <c r="M7" s="2" t="s">
        <v>29</v>
      </c>
      <c r="N7" s="3">
        <f t="shared" si="0"/>
        <v>5786</v>
      </c>
      <c r="O7" s="4">
        <f t="shared" si="1"/>
        <v>0.45833333333333331</v>
      </c>
      <c r="P7" s="2">
        <f>HEX2DEC(I7&amp;H7)</f>
        <v>626</v>
      </c>
      <c r="Q7" s="2">
        <f t="shared" si="2"/>
        <v>13.14</v>
      </c>
      <c r="R7" s="2">
        <f t="shared" si="3"/>
        <v>371</v>
      </c>
      <c r="T7" s="2">
        <v>11258</v>
      </c>
      <c r="U7" s="2" t="s">
        <v>78</v>
      </c>
      <c r="V7" s="3">
        <v>42311</v>
      </c>
      <c r="W7" s="7">
        <v>1130</v>
      </c>
      <c r="X7" s="6">
        <v>626</v>
      </c>
      <c r="Y7" s="7">
        <v>3.71</v>
      </c>
      <c r="Z7" s="7">
        <v>788</v>
      </c>
      <c r="AA7" s="2" t="s">
        <v>79</v>
      </c>
      <c r="AB7" s="2" t="s">
        <v>79</v>
      </c>
      <c r="AC7" s="2">
        <v>179</v>
      </c>
    </row>
    <row r="8" spans="1:30">
      <c r="A8" s="2">
        <v>15</v>
      </c>
      <c r="B8" s="2">
        <v>11</v>
      </c>
      <c r="C8" s="2">
        <v>3</v>
      </c>
      <c r="D8" s="2" t="s">
        <v>30</v>
      </c>
      <c r="E8" s="2">
        <v>0</v>
      </c>
      <c r="F8" s="2">
        <v>60</v>
      </c>
      <c r="G8" s="2">
        <v>2</v>
      </c>
      <c r="H8" s="2">
        <v>29</v>
      </c>
      <c r="I8" s="2">
        <v>1</v>
      </c>
      <c r="J8" s="2" t="s">
        <v>31</v>
      </c>
      <c r="K8" s="2">
        <v>0</v>
      </c>
      <c r="L8" s="2">
        <v>0</v>
      </c>
      <c r="M8" s="2" t="s">
        <v>30</v>
      </c>
      <c r="N8" s="3">
        <f t="shared" si="0"/>
        <v>5786</v>
      </c>
      <c r="O8" s="4">
        <f t="shared" si="1"/>
        <v>0.46875</v>
      </c>
      <c r="P8" s="2">
        <f>HEX2DEC(I8&amp;H8)</f>
        <v>297</v>
      </c>
      <c r="Q8" s="2">
        <f t="shared" si="2"/>
        <v>6.08</v>
      </c>
      <c r="R8" s="2">
        <f t="shared" si="3"/>
        <v>176</v>
      </c>
      <c r="T8" s="2">
        <v>11259</v>
      </c>
      <c r="U8" s="2" t="s">
        <v>78</v>
      </c>
      <c r="V8" s="3">
        <v>42311</v>
      </c>
      <c r="W8" s="7">
        <v>1145</v>
      </c>
      <c r="X8" s="6">
        <v>297</v>
      </c>
      <c r="Y8" s="7">
        <v>1.76</v>
      </c>
      <c r="Z8" s="7">
        <v>365</v>
      </c>
      <c r="AA8" s="2" t="s">
        <v>79</v>
      </c>
      <c r="AB8" s="2" t="s">
        <v>79</v>
      </c>
      <c r="AC8" s="2">
        <v>179</v>
      </c>
    </row>
    <row r="9" spans="1:30">
      <c r="A9" s="2">
        <v>15</v>
      </c>
      <c r="B9" s="2">
        <v>11</v>
      </c>
      <c r="C9" s="2">
        <v>3</v>
      </c>
      <c r="D9" s="2" t="s">
        <v>32</v>
      </c>
      <c r="E9" s="2">
        <v>0</v>
      </c>
      <c r="F9" s="2">
        <v>61</v>
      </c>
      <c r="G9" s="2">
        <v>3</v>
      </c>
      <c r="H9" s="2">
        <v>69</v>
      </c>
      <c r="I9" s="2">
        <v>1</v>
      </c>
      <c r="J9" s="2" t="s">
        <v>33</v>
      </c>
      <c r="K9" s="2">
        <v>0</v>
      </c>
      <c r="N9" s="3">
        <f t="shared" si="0"/>
        <v>5786</v>
      </c>
      <c r="O9" s="4">
        <f t="shared" si="1"/>
        <v>0.59375</v>
      </c>
      <c r="P9" s="2">
        <f>HEX2DEC(I9&amp;H9)</f>
        <v>361</v>
      </c>
      <c r="Q9" s="2">
        <f t="shared" si="2"/>
        <v>8.65</v>
      </c>
      <c r="R9" s="2">
        <f t="shared" si="3"/>
        <v>139</v>
      </c>
      <c r="T9" s="2">
        <v>11260</v>
      </c>
      <c r="U9" s="2" t="s">
        <v>78</v>
      </c>
      <c r="V9" s="3">
        <v>42311</v>
      </c>
      <c r="W9" s="7">
        <v>1445</v>
      </c>
      <c r="X9" s="6">
        <v>361</v>
      </c>
      <c r="Y9" s="7">
        <v>1.39</v>
      </c>
      <c r="Z9" s="7">
        <v>519</v>
      </c>
      <c r="AA9" s="2" t="s">
        <v>79</v>
      </c>
      <c r="AB9" s="2" t="s">
        <v>79</v>
      </c>
      <c r="AC9" s="2">
        <v>179</v>
      </c>
    </row>
    <row r="10" spans="1:30">
      <c r="A10" s="2">
        <v>15</v>
      </c>
      <c r="B10" s="2">
        <v>11</v>
      </c>
      <c r="C10" s="2">
        <v>3</v>
      </c>
      <c r="D10" s="2" t="s">
        <v>34</v>
      </c>
      <c r="F10" s="2" t="s">
        <v>35</v>
      </c>
      <c r="G10" s="2">
        <v>0</v>
      </c>
      <c r="H10" s="2">
        <v>42</v>
      </c>
      <c r="I10" s="2">
        <v>0</v>
      </c>
      <c r="J10" s="2">
        <v>15</v>
      </c>
      <c r="K10" s="2">
        <v>0</v>
      </c>
      <c r="L10" s="2">
        <v>0</v>
      </c>
      <c r="N10" s="3">
        <f t="shared" ref="N10:N29" si="4">DATE(A10,B10,C10)</f>
        <v>5786</v>
      </c>
      <c r="O10" s="4">
        <f t="shared" si="1"/>
        <v>0.60416666666666663</v>
      </c>
      <c r="P10" s="2">
        <f>HEX2DEC(I10&amp;H10)</f>
        <v>66</v>
      </c>
      <c r="Q10" s="2">
        <f t="shared" si="2"/>
        <v>1.94</v>
      </c>
      <c r="R10" s="2">
        <f t="shared" si="3"/>
        <v>21</v>
      </c>
      <c r="T10" s="2">
        <v>11261</v>
      </c>
      <c r="U10" s="2" t="s">
        <v>78</v>
      </c>
      <c r="V10" s="3">
        <v>42311</v>
      </c>
      <c r="W10" s="7">
        <v>1500</v>
      </c>
      <c r="X10" s="6">
        <v>66</v>
      </c>
      <c r="Y10" s="7">
        <v>0.21</v>
      </c>
      <c r="Z10" s="7">
        <v>116</v>
      </c>
      <c r="AA10" s="2" t="s">
        <v>79</v>
      </c>
      <c r="AB10" s="2" t="s">
        <v>79</v>
      </c>
      <c r="AC10" s="2">
        <v>179</v>
      </c>
    </row>
    <row r="11" spans="1:30">
      <c r="A11" s="2">
        <v>15</v>
      </c>
      <c r="B11" s="2">
        <v>11</v>
      </c>
      <c r="C11" s="2">
        <v>3</v>
      </c>
      <c r="D11" s="2" t="s">
        <v>36</v>
      </c>
      <c r="E11" s="2">
        <v>0</v>
      </c>
      <c r="F11" s="2">
        <v>69</v>
      </c>
      <c r="G11" s="2">
        <v>0</v>
      </c>
      <c r="H11" s="2">
        <v>33</v>
      </c>
      <c r="I11" s="2">
        <v>0</v>
      </c>
      <c r="J11" s="2">
        <v>20</v>
      </c>
      <c r="K11" s="2">
        <v>0</v>
      </c>
      <c r="L11" s="2">
        <v>0</v>
      </c>
      <c r="N11" s="3">
        <f t="shared" si="4"/>
        <v>5786</v>
      </c>
      <c r="O11" s="4">
        <f t="shared" ref="O11:O35" si="5">TIME(FLOOR((HEX2DEC(D11)-1)*15/60,1),MOD((HEX2DEC(D11)-1)*15/60,1)*60,)</f>
        <v>0.63541666666666663</v>
      </c>
      <c r="P11" s="2">
        <f>HEX2DEC(I11&amp;H11)</f>
        <v>51</v>
      </c>
      <c r="Q11" s="2">
        <f t="shared" ref="Q11:Q29" si="6">HEX2DEC(G11&amp;F11)/100</f>
        <v>1.05</v>
      </c>
      <c r="R11" s="2">
        <f t="shared" ref="R11:R29" si="7">HEX2DEC(K11&amp;J11)</f>
        <v>32</v>
      </c>
      <c r="T11" s="2">
        <v>11262</v>
      </c>
      <c r="U11" s="2" t="s">
        <v>78</v>
      </c>
      <c r="V11" s="3">
        <v>42311</v>
      </c>
      <c r="W11" s="7">
        <v>1545</v>
      </c>
      <c r="X11" s="6">
        <v>51</v>
      </c>
      <c r="Y11" s="7">
        <v>0.32</v>
      </c>
      <c r="Z11" s="7">
        <v>63</v>
      </c>
      <c r="AA11" s="2" t="s">
        <v>79</v>
      </c>
      <c r="AB11" s="2" t="s">
        <v>79</v>
      </c>
      <c r="AC11" s="2">
        <v>179</v>
      </c>
    </row>
    <row r="12" spans="1:30">
      <c r="A12" s="2">
        <v>15</v>
      </c>
      <c r="B12" s="2">
        <v>11</v>
      </c>
      <c r="C12" s="2">
        <v>3</v>
      </c>
      <c r="D12" s="2" t="s">
        <v>37</v>
      </c>
      <c r="E12" s="2">
        <v>0</v>
      </c>
      <c r="F12" s="2" t="s">
        <v>38</v>
      </c>
      <c r="G12" s="2" t="s">
        <v>39</v>
      </c>
      <c r="H12" s="2">
        <v>52</v>
      </c>
      <c r="I12" s="2">
        <v>5</v>
      </c>
      <c r="J12" s="2" t="s">
        <v>0</v>
      </c>
      <c r="K12" s="2">
        <v>3</v>
      </c>
      <c r="L12" s="2">
        <v>0</v>
      </c>
      <c r="M12" s="2" t="s">
        <v>37</v>
      </c>
      <c r="N12" s="3">
        <f t="shared" si="4"/>
        <v>5786</v>
      </c>
      <c r="O12" s="4">
        <f t="shared" si="5"/>
        <v>0.64583333333333337</v>
      </c>
      <c r="P12" s="2">
        <f>HEX2DEC(I12&amp;H12)</f>
        <v>1362</v>
      </c>
      <c r="Q12" s="2">
        <f t="shared" si="6"/>
        <v>27.8</v>
      </c>
      <c r="R12" s="2">
        <f t="shared" si="7"/>
        <v>796</v>
      </c>
      <c r="T12" s="2">
        <v>11263</v>
      </c>
      <c r="U12" s="2" t="s">
        <v>78</v>
      </c>
      <c r="V12" s="3">
        <v>42311</v>
      </c>
      <c r="W12" s="7">
        <v>1600</v>
      </c>
      <c r="X12" s="6">
        <v>1362</v>
      </c>
      <c r="Y12" s="7">
        <v>7.96</v>
      </c>
      <c r="Z12" s="7">
        <v>1668</v>
      </c>
      <c r="AA12" s="2" t="s">
        <v>79</v>
      </c>
      <c r="AB12" s="2" t="s">
        <v>79</v>
      </c>
      <c r="AC12" s="2">
        <v>179</v>
      </c>
    </row>
    <row r="13" spans="1:30">
      <c r="A13" s="2">
        <v>15</v>
      </c>
      <c r="B13" s="2">
        <v>11</v>
      </c>
      <c r="C13" s="2">
        <v>3</v>
      </c>
      <c r="D13" s="2">
        <v>40</v>
      </c>
      <c r="E13" s="2">
        <v>0</v>
      </c>
      <c r="F13" s="2" t="s">
        <v>40</v>
      </c>
      <c r="G13" s="2">
        <v>2</v>
      </c>
      <c r="H13" s="2">
        <v>63</v>
      </c>
      <c r="I13" s="2">
        <v>1</v>
      </c>
      <c r="J13" s="2" t="s">
        <v>41</v>
      </c>
      <c r="K13" s="2">
        <v>0</v>
      </c>
      <c r="L13" s="2">
        <v>0</v>
      </c>
      <c r="N13" s="3">
        <f t="shared" si="4"/>
        <v>5786</v>
      </c>
      <c r="O13" s="4">
        <f t="shared" si="5"/>
        <v>0.65625</v>
      </c>
      <c r="P13" s="2">
        <f>HEX2DEC(I13&amp;H13)</f>
        <v>355</v>
      </c>
      <c r="Q13" s="2">
        <f t="shared" si="6"/>
        <v>7.53</v>
      </c>
      <c r="R13" s="2">
        <f t="shared" si="7"/>
        <v>216</v>
      </c>
      <c r="T13" s="2">
        <v>11264</v>
      </c>
      <c r="U13" s="2" t="s">
        <v>78</v>
      </c>
      <c r="V13" s="3">
        <v>42311</v>
      </c>
      <c r="W13" s="7">
        <v>1615</v>
      </c>
      <c r="X13" s="6">
        <v>355</v>
      </c>
      <c r="Y13" s="7">
        <v>2.16</v>
      </c>
      <c r="Z13" s="7">
        <v>452</v>
      </c>
      <c r="AA13" s="2" t="s">
        <v>79</v>
      </c>
      <c r="AB13" s="2" t="s">
        <v>79</v>
      </c>
      <c r="AC13" s="2">
        <v>179</v>
      </c>
    </row>
    <row r="14" spans="1:30">
      <c r="A14" s="2">
        <v>15</v>
      </c>
      <c r="B14" s="2">
        <v>11</v>
      </c>
      <c r="C14" s="2">
        <v>3</v>
      </c>
      <c r="D14" s="2">
        <v>45</v>
      </c>
      <c r="E14" s="2">
        <v>0</v>
      </c>
      <c r="F14" s="2" t="s">
        <v>42</v>
      </c>
      <c r="G14" s="2">
        <v>0</v>
      </c>
      <c r="H14" s="2">
        <v>53</v>
      </c>
      <c r="I14" s="2">
        <v>0</v>
      </c>
      <c r="J14" s="2" t="s">
        <v>43</v>
      </c>
      <c r="K14" s="2">
        <v>0</v>
      </c>
      <c r="L14" s="2">
        <v>0</v>
      </c>
      <c r="N14" s="3">
        <f t="shared" si="4"/>
        <v>5786</v>
      </c>
      <c r="O14" s="4">
        <f t="shared" si="5"/>
        <v>0.70833333333333337</v>
      </c>
      <c r="P14" s="2">
        <f>HEX2DEC(I14&amp;H14)</f>
        <v>83</v>
      </c>
      <c r="Q14" s="2">
        <f t="shared" si="6"/>
        <v>1.66</v>
      </c>
      <c r="R14" s="2">
        <f t="shared" si="7"/>
        <v>47</v>
      </c>
      <c r="T14" s="2">
        <v>11265</v>
      </c>
      <c r="U14" s="2" t="s">
        <v>78</v>
      </c>
      <c r="V14" s="3">
        <v>42311</v>
      </c>
      <c r="W14" s="7">
        <v>1730</v>
      </c>
      <c r="X14" s="6">
        <v>83</v>
      </c>
      <c r="Y14" s="7">
        <v>0.47</v>
      </c>
      <c r="Z14" s="7">
        <v>100</v>
      </c>
      <c r="AA14" s="2" t="s">
        <v>79</v>
      </c>
      <c r="AB14" s="2" t="s">
        <v>79</v>
      </c>
      <c r="AC14" s="2">
        <v>179</v>
      </c>
    </row>
    <row r="15" spans="1:30">
      <c r="A15" s="2">
        <v>15</v>
      </c>
      <c r="B15" s="2">
        <v>11</v>
      </c>
      <c r="C15" s="2">
        <v>3</v>
      </c>
      <c r="D15" s="2">
        <v>46</v>
      </c>
      <c r="F15" s="2" t="s">
        <v>44</v>
      </c>
      <c r="G15" s="2" t="s">
        <v>45</v>
      </c>
      <c r="H15" s="2" t="s">
        <v>21</v>
      </c>
      <c r="I15" s="2">
        <v>5</v>
      </c>
      <c r="J15" s="2">
        <v>34</v>
      </c>
      <c r="K15" s="2">
        <v>3</v>
      </c>
      <c r="L15" s="2">
        <v>0</v>
      </c>
      <c r="N15" s="3">
        <f t="shared" si="4"/>
        <v>5786</v>
      </c>
      <c r="O15" s="4">
        <f t="shared" si="5"/>
        <v>0.71875</v>
      </c>
      <c r="P15" s="2">
        <f>HEX2DEC(I15&amp;H15)</f>
        <v>1391</v>
      </c>
      <c r="Q15" s="2">
        <f t="shared" si="6"/>
        <v>28.77</v>
      </c>
      <c r="R15" s="2">
        <f t="shared" si="7"/>
        <v>820</v>
      </c>
      <c r="T15" s="2">
        <v>11266</v>
      </c>
      <c r="U15" s="2" t="s">
        <v>78</v>
      </c>
      <c r="V15" s="3">
        <v>42311</v>
      </c>
      <c r="W15" s="7">
        <v>1745</v>
      </c>
      <c r="X15" s="6">
        <v>1391</v>
      </c>
      <c r="Y15" s="7">
        <v>8.1999999999999993</v>
      </c>
      <c r="Z15" s="7">
        <v>1726</v>
      </c>
      <c r="AA15" s="2" t="s">
        <v>79</v>
      </c>
      <c r="AB15" s="2" t="s">
        <v>79</v>
      </c>
      <c r="AC15" s="2">
        <v>179</v>
      </c>
    </row>
    <row r="16" spans="1:30">
      <c r="A16" s="2">
        <v>15</v>
      </c>
      <c r="B16" s="2">
        <v>11</v>
      </c>
      <c r="C16" s="2">
        <v>3</v>
      </c>
      <c r="D16" s="2">
        <v>47</v>
      </c>
      <c r="E16" s="2">
        <v>0</v>
      </c>
      <c r="F16" s="2" t="s">
        <v>46</v>
      </c>
      <c r="G16" s="2">
        <v>1</v>
      </c>
      <c r="H16" s="2" t="s">
        <v>47</v>
      </c>
      <c r="I16" s="2">
        <v>0</v>
      </c>
      <c r="J16" s="2">
        <v>97</v>
      </c>
      <c r="K16" s="2">
        <v>0</v>
      </c>
      <c r="L16" s="2">
        <v>0</v>
      </c>
      <c r="N16" s="3">
        <f t="shared" si="4"/>
        <v>5786</v>
      </c>
      <c r="O16" s="4">
        <f t="shared" si="5"/>
        <v>0.72916666666666663</v>
      </c>
      <c r="P16" s="2">
        <f>HEX2DEC(I16&amp;H16)</f>
        <v>234</v>
      </c>
      <c r="Q16" s="2">
        <f t="shared" si="6"/>
        <v>4.91</v>
      </c>
      <c r="R16" s="2">
        <f t="shared" si="7"/>
        <v>151</v>
      </c>
      <c r="T16" s="2">
        <v>11267</v>
      </c>
      <c r="U16" s="2" t="s">
        <v>78</v>
      </c>
      <c r="V16" s="3">
        <v>42311</v>
      </c>
      <c r="W16" s="7">
        <v>1800</v>
      </c>
      <c r="X16" s="6">
        <v>234</v>
      </c>
      <c r="Y16" s="7">
        <v>1.51</v>
      </c>
      <c r="Z16" s="7">
        <v>295</v>
      </c>
      <c r="AA16" s="2" t="s">
        <v>79</v>
      </c>
      <c r="AB16" s="2" t="s">
        <v>79</v>
      </c>
      <c r="AC16" s="2">
        <v>179</v>
      </c>
    </row>
    <row r="17" spans="1:29">
      <c r="A17" s="2">
        <v>15</v>
      </c>
      <c r="B17" s="2">
        <v>11</v>
      </c>
      <c r="C17" s="2">
        <v>3</v>
      </c>
      <c r="D17" s="2">
        <v>48</v>
      </c>
      <c r="E17" s="2">
        <v>0</v>
      </c>
      <c r="F17" s="2">
        <v>59</v>
      </c>
      <c r="G17" s="2">
        <v>0</v>
      </c>
      <c r="H17" s="2">
        <v>29</v>
      </c>
      <c r="I17" s="2">
        <v>0</v>
      </c>
      <c r="J17" s="2">
        <v>16</v>
      </c>
      <c r="K17" s="2">
        <v>0</v>
      </c>
      <c r="N17" s="3">
        <f t="shared" ref="N17:N29" si="8">DATE(A17,B17,C17)</f>
        <v>5786</v>
      </c>
      <c r="O17" s="4">
        <f t="shared" si="5"/>
        <v>0.73958333333333337</v>
      </c>
      <c r="P17" s="2">
        <f>HEX2DEC(I17&amp;H17)</f>
        <v>41</v>
      </c>
      <c r="Q17" s="2">
        <f t="shared" si="6"/>
        <v>0.89</v>
      </c>
      <c r="R17" s="2">
        <f t="shared" si="7"/>
        <v>22</v>
      </c>
      <c r="T17" s="2">
        <v>11268</v>
      </c>
      <c r="U17" s="2" t="s">
        <v>78</v>
      </c>
      <c r="V17" s="3">
        <v>42311</v>
      </c>
      <c r="W17" s="7">
        <v>1815</v>
      </c>
      <c r="X17" s="6">
        <v>41</v>
      </c>
      <c r="Y17" s="7">
        <v>0.22</v>
      </c>
      <c r="Z17" s="7">
        <v>53</v>
      </c>
      <c r="AA17" s="2" t="s">
        <v>79</v>
      </c>
      <c r="AB17" s="2" t="s">
        <v>79</v>
      </c>
      <c r="AC17" s="2">
        <v>179</v>
      </c>
    </row>
    <row r="18" spans="1:29">
      <c r="A18" s="2">
        <v>15</v>
      </c>
      <c r="B18" s="2">
        <v>11</v>
      </c>
      <c r="C18" s="2">
        <v>3</v>
      </c>
      <c r="D18" s="2">
        <v>49</v>
      </c>
      <c r="E18" s="2">
        <v>0</v>
      </c>
      <c r="F18" s="2" t="s">
        <v>24</v>
      </c>
      <c r="G18" s="2">
        <v>1</v>
      </c>
      <c r="H18" s="2" t="s">
        <v>48</v>
      </c>
      <c r="I18" s="2">
        <v>0</v>
      </c>
      <c r="J18" s="2" t="s">
        <v>49</v>
      </c>
      <c r="K18" s="2">
        <v>0</v>
      </c>
      <c r="L18" s="2">
        <v>0</v>
      </c>
      <c r="N18" s="3">
        <f t="shared" si="8"/>
        <v>5786</v>
      </c>
      <c r="O18" s="4">
        <f t="shared" si="5"/>
        <v>0.75</v>
      </c>
      <c r="P18" s="2">
        <f>HEX2DEC(I18&amp;H18)</f>
        <v>224</v>
      </c>
      <c r="Q18" s="2">
        <f t="shared" si="6"/>
        <v>4.3099999999999996</v>
      </c>
      <c r="R18" s="2">
        <f t="shared" si="7"/>
        <v>125</v>
      </c>
      <c r="T18" s="2">
        <v>11269</v>
      </c>
      <c r="U18" s="2" t="s">
        <v>78</v>
      </c>
      <c r="V18" s="3">
        <v>42311</v>
      </c>
      <c r="W18" s="7">
        <v>1830</v>
      </c>
      <c r="X18" s="6">
        <v>224</v>
      </c>
      <c r="Y18" s="7">
        <v>1.25</v>
      </c>
      <c r="Z18" s="7">
        <v>259</v>
      </c>
      <c r="AA18" s="2" t="s">
        <v>79</v>
      </c>
      <c r="AB18" s="2" t="s">
        <v>79</v>
      </c>
      <c r="AC18" s="2">
        <v>179</v>
      </c>
    </row>
    <row r="19" spans="1:29">
      <c r="A19" s="2">
        <v>15</v>
      </c>
      <c r="B19" s="2">
        <v>11</v>
      </c>
      <c r="C19" s="2">
        <v>3</v>
      </c>
      <c r="D19" s="2" t="s">
        <v>50</v>
      </c>
      <c r="E19" s="2">
        <v>0</v>
      </c>
      <c r="F19" s="3" t="s">
        <v>51</v>
      </c>
      <c r="G19" s="2">
        <v>8</v>
      </c>
      <c r="H19" s="2">
        <v>49</v>
      </c>
      <c r="I19" s="2">
        <v>4</v>
      </c>
      <c r="J19" s="2" t="s">
        <v>52</v>
      </c>
      <c r="K19" s="2">
        <v>2</v>
      </c>
      <c r="N19" s="3">
        <f t="shared" si="8"/>
        <v>5786</v>
      </c>
      <c r="O19" s="4">
        <f t="shared" si="5"/>
        <v>0.76041666666666663</v>
      </c>
      <c r="P19" s="2">
        <f>HEX2DEC(I19&amp;H19)</f>
        <v>1097</v>
      </c>
      <c r="Q19" s="2">
        <f t="shared" si="6"/>
        <v>22.69</v>
      </c>
      <c r="R19" s="2">
        <f t="shared" si="7"/>
        <v>635</v>
      </c>
      <c r="T19" s="2">
        <v>11270</v>
      </c>
      <c r="U19" s="2" t="s">
        <v>78</v>
      </c>
      <c r="V19" s="3">
        <v>42311</v>
      </c>
      <c r="W19" s="7">
        <v>1845</v>
      </c>
      <c r="X19" s="6">
        <v>1097</v>
      </c>
      <c r="Y19" s="7">
        <v>6.35</v>
      </c>
      <c r="Z19" s="7">
        <v>1361</v>
      </c>
      <c r="AA19" s="2" t="s">
        <v>79</v>
      </c>
      <c r="AB19" s="2" t="s">
        <v>79</v>
      </c>
      <c r="AC19" s="2">
        <v>179</v>
      </c>
    </row>
    <row r="20" spans="1:29">
      <c r="A20" s="2">
        <v>15</v>
      </c>
      <c r="B20" s="2">
        <v>11</v>
      </c>
      <c r="C20" s="2">
        <v>4</v>
      </c>
      <c r="D20" s="2">
        <v>46</v>
      </c>
      <c r="E20" s="2">
        <v>0</v>
      </c>
      <c r="F20" s="2" t="s">
        <v>53</v>
      </c>
      <c r="G20" s="2">
        <v>7</v>
      </c>
      <c r="H20" s="2" t="s">
        <v>54</v>
      </c>
      <c r="I20" s="2">
        <v>3</v>
      </c>
      <c r="J20" s="2">
        <v>30</v>
      </c>
      <c r="K20" s="2">
        <v>2</v>
      </c>
      <c r="L20" s="2">
        <v>0</v>
      </c>
      <c r="N20" s="3">
        <f t="shared" si="8"/>
        <v>5787</v>
      </c>
      <c r="O20" s="4">
        <f t="shared" si="5"/>
        <v>0.71875</v>
      </c>
      <c r="P20" s="2">
        <f>HEX2DEC(I20&amp;H20)</f>
        <v>981</v>
      </c>
      <c r="Q20" s="2">
        <f t="shared" si="6"/>
        <v>19.899999999999999</v>
      </c>
      <c r="R20" s="2">
        <f t="shared" si="7"/>
        <v>560</v>
      </c>
      <c r="T20" s="2">
        <v>11271</v>
      </c>
      <c r="U20" s="2" t="s">
        <v>78</v>
      </c>
      <c r="V20" s="3">
        <v>42312</v>
      </c>
      <c r="W20" s="7">
        <v>1745</v>
      </c>
      <c r="X20" s="6">
        <v>981</v>
      </c>
      <c r="Y20" s="7">
        <v>5.6</v>
      </c>
      <c r="Z20" s="7">
        <v>1194</v>
      </c>
      <c r="AA20" s="2" t="s">
        <v>80</v>
      </c>
      <c r="AB20" s="2" t="s">
        <v>80</v>
      </c>
      <c r="AC20" s="2">
        <v>179</v>
      </c>
    </row>
    <row r="21" spans="1:29">
      <c r="A21" s="2">
        <v>15</v>
      </c>
      <c r="B21" s="2">
        <v>11</v>
      </c>
      <c r="C21" s="2">
        <v>4</v>
      </c>
      <c r="D21" s="2">
        <v>47</v>
      </c>
      <c r="E21" s="2">
        <v>0</v>
      </c>
      <c r="F21" s="2" t="s">
        <v>55</v>
      </c>
      <c r="G21" s="2">
        <v>9</v>
      </c>
      <c r="H21" s="2" t="s">
        <v>38</v>
      </c>
      <c r="I21" s="2">
        <v>4</v>
      </c>
      <c r="J21" s="2" t="s">
        <v>56</v>
      </c>
      <c r="K21" s="2">
        <v>2</v>
      </c>
      <c r="L21" s="2">
        <v>0</v>
      </c>
      <c r="N21" s="3">
        <f t="shared" si="8"/>
        <v>5787</v>
      </c>
      <c r="O21" s="4">
        <f t="shared" si="5"/>
        <v>0.72916666666666663</v>
      </c>
      <c r="P21" s="2">
        <f>HEX2DEC(I21&amp;H21)</f>
        <v>1244</v>
      </c>
      <c r="Q21" s="2">
        <f t="shared" si="6"/>
        <v>25.15</v>
      </c>
      <c r="R21" s="2">
        <f t="shared" si="7"/>
        <v>722</v>
      </c>
      <c r="T21" s="2">
        <v>11272</v>
      </c>
      <c r="U21" s="2" t="s">
        <v>78</v>
      </c>
      <c r="V21" s="3">
        <v>42312</v>
      </c>
      <c r="W21" s="7">
        <v>1800</v>
      </c>
      <c r="X21" s="6">
        <v>1244</v>
      </c>
      <c r="Y21" s="7">
        <v>7.22</v>
      </c>
      <c r="Z21" s="7">
        <v>1509</v>
      </c>
      <c r="AA21" s="2" t="s">
        <v>80</v>
      </c>
      <c r="AB21" s="2" t="s">
        <v>80</v>
      </c>
      <c r="AC21" s="2">
        <v>179</v>
      </c>
    </row>
    <row r="22" spans="1:29">
      <c r="A22" s="2">
        <v>15</v>
      </c>
      <c r="B22" s="2">
        <v>11</v>
      </c>
      <c r="C22" s="2">
        <v>4</v>
      </c>
      <c r="D22" s="2">
        <v>48</v>
      </c>
      <c r="E22" s="2">
        <v>0</v>
      </c>
      <c r="F22" s="2">
        <v>28</v>
      </c>
      <c r="G22" s="2">
        <v>7</v>
      </c>
      <c r="H22" s="2">
        <v>98</v>
      </c>
      <c r="I22" s="2">
        <v>3</v>
      </c>
      <c r="J22" s="2" t="s">
        <v>57</v>
      </c>
      <c r="K22" s="2">
        <v>1</v>
      </c>
      <c r="N22" s="3">
        <f t="shared" ref="N22:N35" si="9">DATE(A22,B22,C22)</f>
        <v>5787</v>
      </c>
      <c r="O22" s="4">
        <f t="shared" ref="O22:O35" si="10">TIME(FLOOR((HEX2DEC(D22)-1)*15/60,1),MOD((HEX2DEC(D22)-1)*15/60,1)*60,)</f>
        <v>0.73958333333333337</v>
      </c>
      <c r="P22" s="2">
        <f>HEX2DEC(I22&amp;H22)</f>
        <v>920</v>
      </c>
      <c r="Q22" s="2">
        <f>HEX2DEC(G22&amp;F22)/100</f>
        <v>18.32</v>
      </c>
      <c r="R22" s="2">
        <f>HEX2DEC(K22&amp;J22)</f>
        <v>506</v>
      </c>
      <c r="T22" s="2">
        <v>11273</v>
      </c>
      <c r="U22" s="2" t="s">
        <v>78</v>
      </c>
      <c r="V22" s="3">
        <v>42312</v>
      </c>
      <c r="W22" s="7">
        <v>1815</v>
      </c>
      <c r="X22" s="6">
        <v>920</v>
      </c>
      <c r="Y22" s="7">
        <v>5.0599999999999996</v>
      </c>
      <c r="Z22" s="7">
        <v>1099</v>
      </c>
      <c r="AA22" s="2" t="s">
        <v>80</v>
      </c>
      <c r="AB22" s="2" t="s">
        <v>80</v>
      </c>
      <c r="AC22" s="2">
        <v>179</v>
      </c>
    </row>
    <row r="23" spans="1:29">
      <c r="A23" s="2">
        <v>15</v>
      </c>
      <c r="B23" s="2">
        <v>11</v>
      </c>
      <c r="C23" s="2">
        <v>4</v>
      </c>
      <c r="D23" s="2">
        <v>49</v>
      </c>
      <c r="E23" s="2">
        <v>0</v>
      </c>
      <c r="F23" s="2" t="s">
        <v>34</v>
      </c>
      <c r="G23" s="2" t="s">
        <v>45</v>
      </c>
      <c r="H23" s="2">
        <v>80</v>
      </c>
      <c r="I23" s="2">
        <v>5</v>
      </c>
      <c r="J23" s="2" t="s">
        <v>58</v>
      </c>
      <c r="K23" s="2">
        <v>3</v>
      </c>
      <c r="N23" s="3">
        <f t="shared" si="9"/>
        <v>5787</v>
      </c>
      <c r="O23" s="4">
        <f t="shared" si="10"/>
        <v>0.75</v>
      </c>
      <c r="P23" s="2">
        <f>HEX2DEC(I23&amp;H23)</f>
        <v>1408</v>
      </c>
      <c r="Q23" s="2">
        <f>HEX2DEC(G23&amp;F23)/100</f>
        <v>28.75</v>
      </c>
      <c r="R23" s="2">
        <f>HEX2DEC(K23&amp;J23)</f>
        <v>798</v>
      </c>
      <c r="T23" s="2">
        <v>11274</v>
      </c>
      <c r="U23" s="2" t="s">
        <v>78</v>
      </c>
      <c r="V23" s="3">
        <v>42312</v>
      </c>
      <c r="W23" s="7">
        <v>1830</v>
      </c>
      <c r="X23" s="6">
        <v>1408</v>
      </c>
      <c r="Y23" s="7">
        <v>7.98</v>
      </c>
      <c r="Z23" s="7">
        <v>1725</v>
      </c>
      <c r="AA23" s="2" t="s">
        <v>80</v>
      </c>
      <c r="AB23" s="2" t="s">
        <v>80</v>
      </c>
      <c r="AC23" s="2">
        <v>179</v>
      </c>
    </row>
    <row r="24" spans="1:29">
      <c r="A24" s="2">
        <v>15</v>
      </c>
      <c r="B24" s="2">
        <v>11</v>
      </c>
      <c r="C24" s="2">
        <v>4</v>
      </c>
      <c r="D24" s="2" t="s">
        <v>50</v>
      </c>
      <c r="E24" s="2">
        <v>0</v>
      </c>
      <c r="F24" s="2" t="s">
        <v>56</v>
      </c>
      <c r="G24" s="2">
        <v>0</v>
      </c>
      <c r="H24" s="2">
        <v>74</v>
      </c>
      <c r="I24" s="2">
        <v>0</v>
      </c>
      <c r="J24" s="2">
        <v>41</v>
      </c>
      <c r="K24" s="2">
        <v>0</v>
      </c>
      <c r="L24" s="2">
        <v>0</v>
      </c>
      <c r="N24" s="3">
        <f t="shared" si="9"/>
        <v>5787</v>
      </c>
      <c r="O24" s="4">
        <f t="shared" si="10"/>
        <v>0.76041666666666663</v>
      </c>
      <c r="P24" s="2">
        <f>HEX2DEC(I24&amp;H24)</f>
        <v>116</v>
      </c>
      <c r="Q24" s="2">
        <f>HEX2DEC(G24&amp;F24)/100</f>
        <v>2.1</v>
      </c>
      <c r="R24" s="2">
        <f>HEX2DEC(K24&amp;J24)</f>
        <v>65</v>
      </c>
      <c r="T24" s="2">
        <v>11275</v>
      </c>
      <c r="U24" s="2" t="s">
        <v>78</v>
      </c>
      <c r="V24" s="3">
        <v>42312</v>
      </c>
      <c r="W24" s="7">
        <v>1845</v>
      </c>
      <c r="X24" s="6">
        <v>116</v>
      </c>
      <c r="Y24" s="7">
        <v>0.65</v>
      </c>
      <c r="Z24" s="7">
        <v>126</v>
      </c>
      <c r="AA24" s="2" t="s">
        <v>80</v>
      </c>
      <c r="AB24" s="2" t="s">
        <v>80</v>
      </c>
      <c r="AC24" s="2">
        <v>179</v>
      </c>
    </row>
    <row r="25" spans="1:29">
      <c r="A25" s="2">
        <v>15</v>
      </c>
      <c r="B25" s="2">
        <v>11</v>
      </c>
      <c r="C25" s="2">
        <v>4</v>
      </c>
      <c r="D25" s="2" t="s">
        <v>59</v>
      </c>
      <c r="E25" s="2">
        <v>0</v>
      </c>
      <c r="F25" s="2" t="s">
        <v>43</v>
      </c>
      <c r="G25" s="2">
        <v>4</v>
      </c>
      <c r="H25" s="2">
        <v>19</v>
      </c>
      <c r="I25" s="2">
        <v>2</v>
      </c>
      <c r="J25" s="2" t="s">
        <v>22</v>
      </c>
      <c r="K25" s="2">
        <v>1</v>
      </c>
      <c r="N25" s="3">
        <f t="shared" si="9"/>
        <v>5787</v>
      </c>
      <c r="O25" s="4">
        <f t="shared" si="10"/>
        <v>0.80208333333333337</v>
      </c>
      <c r="P25" s="2">
        <f>HEX2DEC(I25&amp;H25)</f>
        <v>537</v>
      </c>
      <c r="Q25" s="2">
        <f>HEX2DEC(G25&amp;F25)/100</f>
        <v>10.71</v>
      </c>
      <c r="R25" s="2">
        <f>HEX2DEC(K25&amp;J25)</f>
        <v>316</v>
      </c>
      <c r="T25" s="2">
        <v>11276</v>
      </c>
      <c r="U25" s="2" t="s">
        <v>78</v>
      </c>
      <c r="V25" s="3">
        <v>42312</v>
      </c>
      <c r="W25" s="7">
        <v>1945</v>
      </c>
      <c r="X25" s="6">
        <v>537</v>
      </c>
      <c r="Y25" s="7">
        <v>3.16</v>
      </c>
      <c r="Z25" s="7">
        <v>643</v>
      </c>
      <c r="AA25" s="2" t="s">
        <v>80</v>
      </c>
      <c r="AB25" s="2" t="s">
        <v>80</v>
      </c>
      <c r="AC25" s="2">
        <v>179</v>
      </c>
    </row>
    <row r="26" spans="1:29">
      <c r="A26" s="2">
        <v>15</v>
      </c>
      <c r="B26" s="2">
        <v>11</v>
      </c>
      <c r="C26" s="2">
        <v>4</v>
      </c>
      <c r="D26" s="2" t="s">
        <v>60</v>
      </c>
      <c r="E26" s="2">
        <v>0</v>
      </c>
      <c r="F26" s="2" t="s">
        <v>61</v>
      </c>
      <c r="G26" s="2">
        <v>6</v>
      </c>
      <c r="H26" s="2" t="s">
        <v>62</v>
      </c>
      <c r="I26" s="2">
        <v>3</v>
      </c>
      <c r="J26" s="2" t="s">
        <v>63</v>
      </c>
      <c r="K26" s="2">
        <v>1</v>
      </c>
      <c r="N26" s="3">
        <f t="shared" si="9"/>
        <v>5787</v>
      </c>
      <c r="O26" s="4">
        <f t="shared" si="10"/>
        <v>0.8125</v>
      </c>
      <c r="P26" s="2">
        <f>HEX2DEC(I26&amp;H26)</f>
        <v>860</v>
      </c>
      <c r="Q26" s="2">
        <f>HEX2DEC(G26&amp;F26)/100</f>
        <v>17.850000000000001</v>
      </c>
      <c r="R26" s="2">
        <f>HEX2DEC(K26&amp;J26)</f>
        <v>508</v>
      </c>
      <c r="T26" s="2">
        <v>11277</v>
      </c>
      <c r="U26" s="2" t="s">
        <v>78</v>
      </c>
      <c r="V26" s="3">
        <v>42312</v>
      </c>
      <c r="W26" s="7">
        <v>2000</v>
      </c>
      <c r="X26" s="6">
        <v>860</v>
      </c>
      <c r="Y26" s="7">
        <v>5.08</v>
      </c>
      <c r="Z26" s="7">
        <v>1071</v>
      </c>
      <c r="AA26" s="2" t="s">
        <v>80</v>
      </c>
      <c r="AB26" s="2" t="s">
        <v>80</v>
      </c>
      <c r="AC26" s="2">
        <v>179</v>
      </c>
    </row>
    <row r="27" spans="1:29">
      <c r="A27" s="2">
        <v>15</v>
      </c>
      <c r="B27" s="2">
        <v>11</v>
      </c>
      <c r="C27" s="2">
        <v>4</v>
      </c>
      <c r="D27" s="2">
        <v>50</v>
      </c>
      <c r="E27" s="2">
        <v>0</v>
      </c>
      <c r="F27" s="2">
        <v>87</v>
      </c>
      <c r="G27" s="2">
        <v>1</v>
      </c>
      <c r="H27" s="2" t="s">
        <v>64</v>
      </c>
      <c r="I27" s="2">
        <v>0</v>
      </c>
      <c r="J27" s="2">
        <v>70</v>
      </c>
      <c r="K27" s="2">
        <v>0</v>
      </c>
      <c r="N27" s="3">
        <f t="shared" si="9"/>
        <v>5787</v>
      </c>
      <c r="O27" s="4">
        <f t="shared" si="10"/>
        <v>0.82291666666666663</v>
      </c>
      <c r="P27" s="2">
        <f>HEX2DEC(I27&amp;H27)</f>
        <v>184</v>
      </c>
      <c r="Q27" s="2">
        <f>HEX2DEC(G27&amp;F27)/100</f>
        <v>3.91</v>
      </c>
      <c r="R27" s="2">
        <f>HEX2DEC(K27&amp;J27)</f>
        <v>112</v>
      </c>
      <c r="T27" s="2">
        <v>11278</v>
      </c>
      <c r="U27" s="2" t="s">
        <v>78</v>
      </c>
      <c r="V27" s="3">
        <v>42312</v>
      </c>
      <c r="W27" s="7">
        <v>2015</v>
      </c>
      <c r="X27" s="6">
        <v>184</v>
      </c>
      <c r="Y27" s="7">
        <v>1.1200000000000001</v>
      </c>
      <c r="Z27" s="7">
        <v>235</v>
      </c>
      <c r="AA27" s="2" t="s">
        <v>80</v>
      </c>
      <c r="AB27" s="2" t="s">
        <v>80</v>
      </c>
      <c r="AC27" s="2">
        <v>179</v>
      </c>
    </row>
    <row r="28" spans="1:29">
      <c r="A28" s="2">
        <v>15</v>
      </c>
      <c r="B28" s="2">
        <v>11</v>
      </c>
      <c r="C28" s="2">
        <v>4</v>
      </c>
      <c r="D28" s="2">
        <v>51</v>
      </c>
      <c r="E28" s="2">
        <v>0</v>
      </c>
      <c r="F28" s="2">
        <v>22</v>
      </c>
      <c r="G28" s="2">
        <v>1</v>
      </c>
      <c r="H28" s="2" t="s">
        <v>65</v>
      </c>
      <c r="I28" s="2">
        <v>0</v>
      </c>
      <c r="J28" s="2">
        <v>51</v>
      </c>
      <c r="K28" s="2">
        <v>0</v>
      </c>
      <c r="L28" s="2">
        <v>0</v>
      </c>
      <c r="N28" s="3">
        <f t="shared" si="9"/>
        <v>5787</v>
      </c>
      <c r="O28" s="4">
        <f t="shared" si="10"/>
        <v>0.83333333333333337</v>
      </c>
      <c r="P28" s="2">
        <f>HEX2DEC(I28&amp;H28)</f>
        <v>140</v>
      </c>
      <c r="Q28" s="2">
        <f>HEX2DEC(G28&amp;F28)/100</f>
        <v>2.9</v>
      </c>
      <c r="R28" s="2">
        <f>HEX2DEC(K28&amp;J28)</f>
        <v>81</v>
      </c>
      <c r="T28" s="2">
        <v>11279</v>
      </c>
      <c r="U28" s="2" t="s">
        <v>78</v>
      </c>
      <c r="V28" s="3">
        <v>42312</v>
      </c>
      <c r="W28" s="7">
        <v>2030</v>
      </c>
      <c r="X28" s="6">
        <v>140</v>
      </c>
      <c r="Y28" s="7">
        <v>0.81</v>
      </c>
      <c r="Z28" s="7">
        <v>174</v>
      </c>
      <c r="AA28" s="2" t="s">
        <v>80</v>
      </c>
      <c r="AB28" s="2" t="s">
        <v>80</v>
      </c>
      <c r="AC28" s="2">
        <v>179</v>
      </c>
    </row>
    <row r="29" spans="1:29">
      <c r="A29" s="2">
        <v>15</v>
      </c>
      <c r="B29" s="2">
        <v>11</v>
      </c>
      <c r="C29" s="2">
        <v>4</v>
      </c>
      <c r="D29" s="2">
        <v>52</v>
      </c>
      <c r="E29" s="2">
        <v>0</v>
      </c>
      <c r="F29" s="2">
        <v>19</v>
      </c>
      <c r="G29" s="2">
        <v>0</v>
      </c>
      <c r="H29" s="2" t="s">
        <v>39</v>
      </c>
      <c r="I29" s="2">
        <v>0</v>
      </c>
      <c r="J29" s="2">
        <v>5</v>
      </c>
      <c r="K29" s="2">
        <v>0</v>
      </c>
      <c r="L29" s="2">
        <v>0</v>
      </c>
      <c r="N29" s="3">
        <f t="shared" si="9"/>
        <v>5787</v>
      </c>
      <c r="O29" s="4">
        <f t="shared" si="10"/>
        <v>0.84375</v>
      </c>
      <c r="P29" s="2">
        <f>HEX2DEC(I29&amp;H29)</f>
        <v>10</v>
      </c>
      <c r="Q29" s="2">
        <f>HEX2DEC(G29&amp;F29)/100</f>
        <v>0.25</v>
      </c>
      <c r="R29" s="2">
        <f>HEX2DEC(K29&amp;J29)</f>
        <v>5</v>
      </c>
      <c r="T29" s="2">
        <v>11280</v>
      </c>
      <c r="U29" s="2" t="s">
        <v>78</v>
      </c>
      <c r="V29" s="3">
        <v>42312</v>
      </c>
      <c r="W29" s="7">
        <v>2045</v>
      </c>
      <c r="X29" s="6">
        <v>10</v>
      </c>
      <c r="Y29" s="7">
        <v>0.05</v>
      </c>
      <c r="Z29" s="7">
        <v>15</v>
      </c>
      <c r="AA29" s="2" t="s">
        <v>80</v>
      </c>
      <c r="AB29" s="2" t="s">
        <v>80</v>
      </c>
      <c r="AC29" s="2">
        <v>179</v>
      </c>
    </row>
    <row r="30" spans="1:29">
      <c r="A30" s="2">
        <v>15</v>
      </c>
      <c r="B30" s="2">
        <v>11</v>
      </c>
      <c r="C30" s="2">
        <v>4</v>
      </c>
      <c r="D30" s="2">
        <v>53</v>
      </c>
      <c r="E30" s="2">
        <v>0</v>
      </c>
      <c r="F30" s="2" t="s">
        <v>66</v>
      </c>
      <c r="G30" s="2">
        <v>0</v>
      </c>
      <c r="H30" s="2" t="s">
        <v>67</v>
      </c>
      <c r="I30" s="2">
        <v>0</v>
      </c>
      <c r="J30" s="2" t="s">
        <v>32</v>
      </c>
      <c r="K30" s="2">
        <v>0</v>
      </c>
      <c r="L30" s="2">
        <v>0</v>
      </c>
      <c r="N30" s="3">
        <f t="shared" si="9"/>
        <v>5787</v>
      </c>
      <c r="O30" s="4">
        <f t="shared" si="10"/>
        <v>0.85416666666666663</v>
      </c>
      <c r="P30" s="2">
        <f>HEX2DEC(I30&amp;H30)</f>
        <v>106</v>
      </c>
      <c r="Q30" s="2">
        <f>HEX2DEC(G30&amp;F30)/100</f>
        <v>2.2200000000000002</v>
      </c>
      <c r="R30" s="2">
        <f>HEX2DEC(K30&amp;J30)</f>
        <v>58</v>
      </c>
      <c r="T30" s="2">
        <v>11281</v>
      </c>
      <c r="U30" s="2" t="s">
        <v>78</v>
      </c>
      <c r="V30" s="3">
        <v>42312</v>
      </c>
      <c r="W30" s="7">
        <v>2100</v>
      </c>
      <c r="X30" s="6">
        <v>106</v>
      </c>
      <c r="Y30" s="7">
        <v>0.57999999999999996</v>
      </c>
      <c r="Z30" s="7">
        <v>133</v>
      </c>
      <c r="AA30" s="2" t="s">
        <v>80</v>
      </c>
      <c r="AB30" s="2" t="s">
        <v>80</v>
      </c>
      <c r="AC30" s="2">
        <v>179</v>
      </c>
    </row>
    <row r="31" spans="1:29">
      <c r="A31" s="2">
        <v>15</v>
      </c>
      <c r="B31" s="2">
        <v>11</v>
      </c>
      <c r="C31" s="2">
        <v>4</v>
      </c>
      <c r="D31" s="2">
        <v>54</v>
      </c>
      <c r="E31" s="2">
        <v>0</v>
      </c>
      <c r="F31" s="2" t="s">
        <v>68</v>
      </c>
      <c r="G31" s="2">
        <v>0</v>
      </c>
      <c r="H31" s="2" t="s">
        <v>69</v>
      </c>
      <c r="I31" s="2">
        <v>0</v>
      </c>
      <c r="J31" s="2">
        <v>7</v>
      </c>
      <c r="K31" s="2">
        <v>0</v>
      </c>
      <c r="L31" s="2">
        <v>0</v>
      </c>
      <c r="N31" s="3">
        <f t="shared" si="9"/>
        <v>5787</v>
      </c>
      <c r="O31" s="4">
        <f t="shared" si="10"/>
        <v>0.86458333333333337</v>
      </c>
      <c r="P31" s="2">
        <f>HEX2DEC(I31&amp;H31)</f>
        <v>12</v>
      </c>
      <c r="Q31" s="2">
        <f>HEX2DEC(G31&amp;F31)/100</f>
        <v>0.27</v>
      </c>
      <c r="R31" s="2">
        <f>HEX2DEC(K31&amp;J31)</f>
        <v>7</v>
      </c>
      <c r="T31" s="2">
        <v>11282</v>
      </c>
      <c r="U31" s="2" t="s">
        <v>78</v>
      </c>
      <c r="V31" s="3">
        <v>42312</v>
      </c>
      <c r="W31" s="7">
        <v>2115</v>
      </c>
      <c r="X31" s="6">
        <v>12</v>
      </c>
      <c r="Y31" s="7">
        <v>7.0000000000000007E-2</v>
      </c>
      <c r="Z31" s="7">
        <v>16</v>
      </c>
      <c r="AA31" s="2" t="s">
        <v>80</v>
      </c>
      <c r="AB31" s="2" t="s">
        <v>80</v>
      </c>
      <c r="AC31" s="2">
        <v>179</v>
      </c>
    </row>
    <row r="32" spans="1:29">
      <c r="A32" s="2">
        <v>15</v>
      </c>
      <c r="B32" s="2">
        <v>11</v>
      </c>
      <c r="C32" s="2">
        <v>4</v>
      </c>
      <c r="D32" s="2">
        <v>55</v>
      </c>
      <c r="E32" s="2">
        <v>0</v>
      </c>
      <c r="F32" s="2">
        <v>57</v>
      </c>
      <c r="G32" s="2">
        <v>0</v>
      </c>
      <c r="H32" s="2">
        <v>27</v>
      </c>
      <c r="I32" s="2">
        <v>0</v>
      </c>
      <c r="J32" s="2">
        <v>14</v>
      </c>
      <c r="K32" s="2">
        <v>0</v>
      </c>
      <c r="L32" s="2">
        <v>0</v>
      </c>
      <c r="N32" s="3">
        <f t="shared" si="9"/>
        <v>5787</v>
      </c>
      <c r="O32" s="4">
        <f t="shared" si="10"/>
        <v>0.875</v>
      </c>
      <c r="P32" s="2">
        <f>HEX2DEC(I32&amp;H32)</f>
        <v>39</v>
      </c>
      <c r="Q32" s="2">
        <f>HEX2DEC(G32&amp;F32)/100</f>
        <v>0.87</v>
      </c>
      <c r="R32" s="2">
        <f>HEX2DEC(K32&amp;J32)</f>
        <v>20</v>
      </c>
      <c r="T32" s="2">
        <v>11283</v>
      </c>
      <c r="U32" s="2" t="s">
        <v>78</v>
      </c>
      <c r="V32" s="3">
        <v>42312</v>
      </c>
      <c r="W32" s="7">
        <v>2130</v>
      </c>
      <c r="X32" s="6">
        <v>39</v>
      </c>
      <c r="Y32" s="7">
        <v>0.2</v>
      </c>
      <c r="Z32" s="7">
        <v>52</v>
      </c>
      <c r="AA32" s="2" t="s">
        <v>80</v>
      </c>
      <c r="AB32" s="2" t="s">
        <v>80</v>
      </c>
      <c r="AC32" s="2">
        <v>179</v>
      </c>
    </row>
    <row r="33" spans="1:29">
      <c r="A33" s="2">
        <v>15</v>
      </c>
      <c r="B33" s="2">
        <v>11</v>
      </c>
      <c r="C33" s="2">
        <v>4</v>
      </c>
      <c r="D33" s="2">
        <v>57</v>
      </c>
      <c r="E33" s="2">
        <v>0</v>
      </c>
      <c r="F33" s="2" t="s">
        <v>70</v>
      </c>
      <c r="G33" s="2">
        <v>1</v>
      </c>
      <c r="H33" s="2" t="s">
        <v>71</v>
      </c>
      <c r="I33" s="2">
        <v>0</v>
      </c>
      <c r="J33" s="2" t="s">
        <v>50</v>
      </c>
      <c r="K33" s="2">
        <v>0</v>
      </c>
      <c r="L33" s="2">
        <v>0</v>
      </c>
      <c r="N33" s="3">
        <f t="shared" si="9"/>
        <v>5787</v>
      </c>
      <c r="O33" s="4">
        <f t="shared" si="10"/>
        <v>0.89583333333333337</v>
      </c>
      <c r="P33" s="2">
        <f>HEX2DEC(I33&amp;H33)</f>
        <v>157</v>
      </c>
      <c r="Q33" s="2">
        <f>HEX2DEC(G33&amp;F33)/100</f>
        <v>3.66</v>
      </c>
      <c r="R33" s="2">
        <f>HEX2DEC(K33&amp;J33)</f>
        <v>74</v>
      </c>
      <c r="T33" s="2">
        <v>11284</v>
      </c>
      <c r="U33" s="2" t="s">
        <v>78</v>
      </c>
      <c r="V33" s="3">
        <v>42312</v>
      </c>
      <c r="W33" s="7">
        <v>2200</v>
      </c>
      <c r="X33" s="6">
        <v>157</v>
      </c>
      <c r="Y33" s="7">
        <v>0.74</v>
      </c>
      <c r="Z33" s="7">
        <v>220</v>
      </c>
      <c r="AA33" s="2" t="s">
        <v>80</v>
      </c>
      <c r="AB33" s="2" t="s">
        <v>80</v>
      </c>
      <c r="AC33" s="2">
        <v>179</v>
      </c>
    </row>
    <row r="34" spans="1:29">
      <c r="A34" s="2">
        <v>15</v>
      </c>
      <c r="B34" s="2">
        <v>11</v>
      </c>
      <c r="C34" s="2">
        <v>4</v>
      </c>
      <c r="D34" s="2">
        <v>58</v>
      </c>
      <c r="E34" s="2">
        <v>0</v>
      </c>
      <c r="F34" s="2">
        <v>19</v>
      </c>
      <c r="G34" s="2">
        <v>0</v>
      </c>
      <c r="H34" s="2" t="s">
        <v>39</v>
      </c>
      <c r="I34" s="2">
        <v>0</v>
      </c>
      <c r="J34" s="2">
        <v>5</v>
      </c>
      <c r="K34" s="2">
        <v>0</v>
      </c>
      <c r="L34" s="2">
        <v>0</v>
      </c>
      <c r="N34" s="3">
        <f t="shared" si="9"/>
        <v>5787</v>
      </c>
      <c r="O34" s="4">
        <f t="shared" si="10"/>
        <v>0.90625</v>
      </c>
      <c r="P34" s="2">
        <f>HEX2DEC(I34&amp;H34)</f>
        <v>10</v>
      </c>
      <c r="Q34" s="2">
        <f>HEX2DEC(G34&amp;F34)/100</f>
        <v>0.25</v>
      </c>
      <c r="R34" s="2">
        <f>HEX2DEC(K34&amp;J34)</f>
        <v>5</v>
      </c>
      <c r="T34" s="2">
        <v>11285</v>
      </c>
      <c r="U34" s="2" t="s">
        <v>78</v>
      </c>
      <c r="V34" s="3">
        <v>42312</v>
      </c>
      <c r="W34" s="7">
        <v>2215</v>
      </c>
      <c r="X34" s="6">
        <v>10</v>
      </c>
      <c r="Y34" s="7">
        <v>0.05</v>
      </c>
      <c r="Z34" s="7">
        <v>15</v>
      </c>
      <c r="AA34" s="2" t="s">
        <v>80</v>
      </c>
      <c r="AB34" s="2" t="s">
        <v>80</v>
      </c>
      <c r="AC34" s="2">
        <v>179</v>
      </c>
    </row>
    <row r="35" spans="1:29">
      <c r="A35" s="2">
        <v>15</v>
      </c>
      <c r="B35" s="2">
        <v>11</v>
      </c>
      <c r="C35" s="2">
        <v>4</v>
      </c>
      <c r="D35" s="2">
        <v>59</v>
      </c>
      <c r="E35" s="2">
        <v>0</v>
      </c>
      <c r="F35" s="2" t="s">
        <v>68</v>
      </c>
      <c r="G35" s="2">
        <v>0</v>
      </c>
      <c r="H35" s="2" t="s">
        <v>69</v>
      </c>
      <c r="I35" s="2">
        <v>0</v>
      </c>
      <c r="J35" s="2">
        <v>6</v>
      </c>
      <c r="K35" s="2">
        <v>0</v>
      </c>
      <c r="L35" s="2">
        <v>0</v>
      </c>
      <c r="N35" s="3">
        <f t="shared" si="9"/>
        <v>5787</v>
      </c>
      <c r="O35" s="4">
        <f t="shared" si="10"/>
        <v>0.91666666666666663</v>
      </c>
      <c r="P35" s="2">
        <f>HEX2DEC(I35&amp;H35)</f>
        <v>12</v>
      </c>
      <c r="Q35" s="2">
        <f>HEX2DEC(G35&amp;F35)/100</f>
        <v>0.27</v>
      </c>
      <c r="R35" s="2">
        <f>HEX2DEC(K35&amp;J35)</f>
        <v>6</v>
      </c>
      <c r="T35" s="2">
        <v>11286</v>
      </c>
      <c r="U35" s="2" t="s">
        <v>78</v>
      </c>
      <c r="V35" s="3">
        <v>42312</v>
      </c>
      <c r="W35" s="7">
        <v>2230</v>
      </c>
      <c r="X35" s="6">
        <v>12</v>
      </c>
      <c r="Y35" s="7">
        <v>0.06</v>
      </c>
      <c r="Z35" s="7">
        <v>16</v>
      </c>
      <c r="AA35" s="2" t="s">
        <v>80</v>
      </c>
      <c r="AB35" s="2" t="s">
        <v>80</v>
      </c>
      <c r="AC35" s="2">
        <v>179</v>
      </c>
    </row>
    <row r="36" spans="1:29">
      <c r="A36" s="2">
        <v>15</v>
      </c>
      <c r="B36" s="2">
        <v>11</v>
      </c>
      <c r="C36" s="2">
        <v>5</v>
      </c>
      <c r="D36" s="2">
        <v>5</v>
      </c>
      <c r="E36" s="2">
        <v>0</v>
      </c>
      <c r="F36" s="2" t="s">
        <v>0</v>
      </c>
      <c r="G36" s="2">
        <v>0</v>
      </c>
      <c r="H36" s="2" t="s">
        <v>72</v>
      </c>
      <c r="I36" s="2">
        <v>0</v>
      </c>
      <c r="J36" s="2">
        <v>7</v>
      </c>
      <c r="K36" s="2">
        <v>0</v>
      </c>
      <c r="L36" s="2">
        <v>0</v>
      </c>
      <c r="N36" s="3">
        <f t="shared" ref="N36" si="11">DATE(A36,B36,C36)</f>
        <v>5788</v>
      </c>
      <c r="O36" s="4">
        <f t="shared" ref="O36" si="12">TIME(FLOOR((HEX2DEC(D36)-1)*15/60,1),MOD((HEX2DEC(D36)-1)*15/60,1)*60,)</f>
        <v>4.1666666666666664E-2</v>
      </c>
      <c r="P36" s="2">
        <f>HEX2DEC(I36&amp;H36)</f>
        <v>13</v>
      </c>
      <c r="Q36" s="2">
        <f>HEX2DEC(G36&amp;F36)/100</f>
        <v>0.28000000000000003</v>
      </c>
      <c r="R36" s="2">
        <f>HEX2DEC(K36&amp;J36)</f>
        <v>7</v>
      </c>
      <c r="T36" s="2">
        <v>11287</v>
      </c>
      <c r="U36" s="2" t="s">
        <v>78</v>
      </c>
      <c r="V36" s="3">
        <v>42313</v>
      </c>
      <c r="W36" s="7">
        <v>130</v>
      </c>
      <c r="X36" s="6">
        <v>13</v>
      </c>
      <c r="Y36" s="7">
        <v>7.0000000000000007E-2</v>
      </c>
      <c r="Z36" s="7">
        <v>17</v>
      </c>
      <c r="AA36" s="2" t="s">
        <v>81</v>
      </c>
      <c r="AB36" s="2" t="s">
        <v>81</v>
      </c>
      <c r="AC36" s="2">
        <v>179</v>
      </c>
    </row>
    <row r="37" spans="1:29">
      <c r="A37" s="2">
        <v>15</v>
      </c>
      <c r="B37" s="2">
        <v>11</v>
      </c>
      <c r="C37" s="2">
        <v>5</v>
      </c>
      <c r="D37" s="2">
        <v>8</v>
      </c>
      <c r="E37" s="2">
        <v>0</v>
      </c>
      <c r="F37" s="2" t="s">
        <v>0</v>
      </c>
      <c r="G37" s="2">
        <v>0</v>
      </c>
      <c r="H37" s="2" t="s">
        <v>72</v>
      </c>
      <c r="I37" s="2">
        <v>0</v>
      </c>
      <c r="J37" s="2">
        <v>7</v>
      </c>
      <c r="K37" s="2">
        <v>0</v>
      </c>
      <c r="L37" s="2">
        <v>0</v>
      </c>
      <c r="M37" s="2">
        <v>8</v>
      </c>
      <c r="N37" s="3">
        <f t="shared" ref="N37" si="13">DATE(A37,B37,C37)</f>
        <v>5788</v>
      </c>
      <c r="O37" s="4">
        <f t="shared" ref="O37" si="14">TIME(FLOOR((HEX2DEC(D37)-1)*15/60,1),MOD((HEX2DEC(D37)-1)*15/60,1)*60,)</f>
        <v>7.2916666666666671E-2</v>
      </c>
      <c r="P37" s="2">
        <f>HEX2DEC(I37&amp;H37)</f>
        <v>13</v>
      </c>
      <c r="Q37" s="2">
        <f>HEX2DEC(G37&amp;F37)/100</f>
        <v>0.28000000000000003</v>
      </c>
      <c r="R37" s="2">
        <f>HEX2DEC(K37&amp;J37)</f>
        <v>7</v>
      </c>
      <c r="T37" s="2">
        <v>11288</v>
      </c>
      <c r="U37" s="2" t="s">
        <v>78</v>
      </c>
      <c r="V37" s="3">
        <v>42313</v>
      </c>
      <c r="W37" s="7">
        <v>215</v>
      </c>
      <c r="X37" s="6">
        <v>13</v>
      </c>
      <c r="Y37" s="7">
        <v>7.0000000000000007E-2</v>
      </c>
      <c r="Z37" s="7">
        <v>17</v>
      </c>
      <c r="AA37" s="2" t="s">
        <v>81</v>
      </c>
      <c r="AB37" s="2" t="s">
        <v>81</v>
      </c>
      <c r="AC37" s="2">
        <v>179</v>
      </c>
    </row>
    <row r="38" spans="1:29">
      <c r="A38" s="2">
        <v>15</v>
      </c>
      <c r="B38" s="2">
        <v>11</v>
      </c>
      <c r="C38" s="2">
        <v>5</v>
      </c>
      <c r="D38" s="2" t="s">
        <v>72</v>
      </c>
      <c r="E38" s="2">
        <v>0</v>
      </c>
      <c r="F38" s="2" t="s">
        <v>23</v>
      </c>
      <c r="G38" s="2">
        <v>0</v>
      </c>
      <c r="H38" s="2" t="s">
        <v>45</v>
      </c>
      <c r="I38" s="2">
        <v>0</v>
      </c>
      <c r="J38" s="2">
        <v>6</v>
      </c>
      <c r="K38" s="2">
        <v>0</v>
      </c>
      <c r="L38" s="2">
        <v>0</v>
      </c>
      <c r="M38" s="2" t="s">
        <v>72</v>
      </c>
      <c r="N38" s="3">
        <f t="shared" ref="N38:N46" si="15">DATE(A38,B38,C38)</f>
        <v>5788</v>
      </c>
      <c r="O38" s="4">
        <f t="shared" ref="O38:O46" si="16">TIME(FLOOR((HEX2DEC(D38)-1)*15/60,1),MOD((HEX2DEC(D38)-1)*15/60,1)*60,)</f>
        <v>0.125</v>
      </c>
      <c r="P38" s="2">
        <f>HEX2DEC(I38&amp;H38)</f>
        <v>11</v>
      </c>
      <c r="Q38" s="2">
        <f t="shared" ref="Q38:Q46" si="17">HEX2DEC(G38&amp;F38)/100</f>
        <v>0.26</v>
      </c>
      <c r="R38" s="2">
        <f t="shared" ref="R38:R46" si="18">HEX2DEC(K38&amp;J38)</f>
        <v>6</v>
      </c>
      <c r="T38" s="2">
        <v>11289</v>
      </c>
      <c r="U38" s="2" t="s">
        <v>78</v>
      </c>
      <c r="V38" s="3">
        <v>42313</v>
      </c>
      <c r="W38" s="7">
        <v>330</v>
      </c>
      <c r="X38" s="6">
        <v>11</v>
      </c>
      <c r="Y38" s="7">
        <v>0.06</v>
      </c>
      <c r="Z38" s="7">
        <v>16</v>
      </c>
      <c r="AA38" s="2" t="s">
        <v>81</v>
      </c>
      <c r="AB38" s="2" t="s">
        <v>81</v>
      </c>
      <c r="AC38" s="2">
        <v>179</v>
      </c>
    </row>
    <row r="39" spans="1:29">
      <c r="A39" s="2">
        <v>15</v>
      </c>
      <c r="B39" s="2">
        <v>11</v>
      </c>
      <c r="C39" s="2">
        <v>5</v>
      </c>
      <c r="D39" s="2" t="s">
        <v>73</v>
      </c>
      <c r="E39" s="2">
        <v>0</v>
      </c>
      <c r="F39" s="2" t="s">
        <v>37</v>
      </c>
      <c r="G39" s="2">
        <v>0</v>
      </c>
      <c r="H39" s="2" t="s">
        <v>58</v>
      </c>
      <c r="I39" s="2">
        <v>0</v>
      </c>
      <c r="J39" s="2">
        <v>10</v>
      </c>
      <c r="K39" s="2">
        <v>0</v>
      </c>
      <c r="L39" s="2">
        <v>0</v>
      </c>
      <c r="N39" s="3">
        <f t="shared" si="15"/>
        <v>5788</v>
      </c>
      <c r="O39" s="4">
        <f t="shared" si="16"/>
        <v>0.29166666666666669</v>
      </c>
      <c r="P39" s="2">
        <f>HEX2DEC(I39&amp;H39)</f>
        <v>30</v>
      </c>
      <c r="Q39" s="2">
        <f t="shared" si="17"/>
        <v>0.63</v>
      </c>
      <c r="R39" s="2">
        <f t="shared" si="18"/>
        <v>16</v>
      </c>
      <c r="T39" s="2">
        <v>11290</v>
      </c>
      <c r="U39" s="2" t="s">
        <v>78</v>
      </c>
      <c r="V39" s="3">
        <v>42313</v>
      </c>
      <c r="W39" s="7">
        <v>730</v>
      </c>
      <c r="X39" s="6">
        <v>30</v>
      </c>
      <c r="Y39" s="7">
        <v>0.16</v>
      </c>
      <c r="Z39" s="7">
        <v>38</v>
      </c>
      <c r="AA39" s="2" t="s">
        <v>81</v>
      </c>
      <c r="AB39" s="2" t="s">
        <v>81</v>
      </c>
      <c r="AC39" s="2">
        <v>179</v>
      </c>
    </row>
    <row r="40" spans="1:29">
      <c r="A40" s="2">
        <v>15</v>
      </c>
      <c r="B40" s="2">
        <v>11</v>
      </c>
      <c r="C40" s="2">
        <v>5</v>
      </c>
      <c r="D40" s="2" t="s">
        <v>58</v>
      </c>
      <c r="E40" s="2">
        <v>0</v>
      </c>
      <c r="F40" s="2">
        <v>60</v>
      </c>
      <c r="G40" s="2">
        <v>0</v>
      </c>
      <c r="H40" s="2">
        <v>32</v>
      </c>
      <c r="I40" s="2">
        <v>0</v>
      </c>
      <c r="J40" s="2" t="s">
        <v>73</v>
      </c>
      <c r="K40" s="2">
        <v>0</v>
      </c>
      <c r="L40" s="2">
        <v>0</v>
      </c>
      <c r="N40" s="3">
        <f t="shared" si="15"/>
        <v>5788</v>
      </c>
      <c r="O40" s="4">
        <f t="shared" si="16"/>
        <v>0.30208333333333331</v>
      </c>
      <c r="P40" s="2">
        <f>HEX2DEC(I40&amp;H40)</f>
        <v>50</v>
      </c>
      <c r="Q40" s="2">
        <f t="shared" si="17"/>
        <v>0.96</v>
      </c>
      <c r="R40" s="2">
        <f t="shared" si="18"/>
        <v>29</v>
      </c>
      <c r="T40" s="2">
        <v>11291</v>
      </c>
      <c r="U40" s="2" t="s">
        <v>78</v>
      </c>
      <c r="V40" s="3">
        <v>42313</v>
      </c>
      <c r="W40" s="7">
        <v>745</v>
      </c>
      <c r="X40" s="6">
        <v>50</v>
      </c>
      <c r="Y40" s="7">
        <v>0.28999999999999998</v>
      </c>
      <c r="Z40" s="7">
        <v>58</v>
      </c>
      <c r="AA40" s="2" t="s">
        <v>81</v>
      </c>
      <c r="AB40" s="2" t="s">
        <v>81</v>
      </c>
      <c r="AC40" s="2">
        <v>179</v>
      </c>
    </row>
    <row r="41" spans="1:29">
      <c r="A41" s="2">
        <v>15</v>
      </c>
      <c r="B41" s="2">
        <v>11</v>
      </c>
      <c r="C41" s="2">
        <v>5</v>
      </c>
      <c r="D41" s="2">
        <v>22</v>
      </c>
      <c r="E41" s="2">
        <v>0</v>
      </c>
      <c r="F41" s="2" t="s">
        <v>74</v>
      </c>
      <c r="G41" s="2">
        <v>1</v>
      </c>
      <c r="H41" s="2">
        <v>86</v>
      </c>
      <c r="I41" s="2">
        <v>0</v>
      </c>
      <c r="J41" s="2">
        <v>43</v>
      </c>
      <c r="K41" s="2">
        <v>0</v>
      </c>
      <c r="L41" s="2">
        <v>0</v>
      </c>
      <c r="N41" s="3">
        <f t="shared" si="15"/>
        <v>5788</v>
      </c>
      <c r="O41" s="4">
        <f t="shared" si="16"/>
        <v>0.34375</v>
      </c>
      <c r="P41" s="2">
        <f>HEX2DEC(I41&amp;H41)</f>
        <v>134</v>
      </c>
      <c r="Q41" s="2">
        <f t="shared" si="17"/>
        <v>2.87</v>
      </c>
      <c r="R41" s="2">
        <f t="shared" si="18"/>
        <v>67</v>
      </c>
      <c r="T41" s="2">
        <v>11292</v>
      </c>
      <c r="U41" s="2" t="s">
        <v>78</v>
      </c>
      <c r="V41" s="3">
        <v>42313</v>
      </c>
      <c r="W41" s="7">
        <v>845</v>
      </c>
      <c r="X41" s="6">
        <v>134</v>
      </c>
      <c r="Y41" s="7">
        <v>0.67</v>
      </c>
      <c r="Z41" s="7">
        <v>172</v>
      </c>
      <c r="AA41" s="2" t="s">
        <v>81</v>
      </c>
      <c r="AB41" s="2" t="s">
        <v>81</v>
      </c>
      <c r="AC41" s="2">
        <v>179</v>
      </c>
    </row>
    <row r="42" spans="1:29">
      <c r="A42" s="2">
        <v>15</v>
      </c>
      <c r="B42" s="2">
        <v>11</v>
      </c>
      <c r="C42" s="2">
        <v>5</v>
      </c>
      <c r="D42" s="2">
        <v>23</v>
      </c>
      <c r="E42" s="2">
        <v>0</v>
      </c>
      <c r="F42" s="2">
        <v>55</v>
      </c>
      <c r="G42" s="2">
        <v>1</v>
      </c>
      <c r="H42" s="2" t="s">
        <v>75</v>
      </c>
      <c r="I42" s="2">
        <v>0</v>
      </c>
      <c r="J42" s="2" t="s">
        <v>76</v>
      </c>
      <c r="K42" s="2">
        <v>0</v>
      </c>
      <c r="L42" s="2">
        <v>0</v>
      </c>
      <c r="N42" s="3">
        <f t="shared" si="15"/>
        <v>5788</v>
      </c>
      <c r="O42" s="4">
        <f t="shared" si="16"/>
        <v>0.35416666666666669</v>
      </c>
      <c r="P42" s="2">
        <f>HEX2DEC(I42&amp;H42)</f>
        <v>164</v>
      </c>
      <c r="Q42" s="2">
        <f t="shared" si="17"/>
        <v>3.41</v>
      </c>
      <c r="R42" s="2">
        <f t="shared" si="18"/>
        <v>94</v>
      </c>
      <c r="T42" s="2">
        <v>11293</v>
      </c>
      <c r="U42" s="2" t="s">
        <v>78</v>
      </c>
      <c r="V42" s="3">
        <v>42313</v>
      </c>
      <c r="W42" s="7">
        <v>900</v>
      </c>
      <c r="X42" s="6">
        <v>164</v>
      </c>
      <c r="Y42" s="7">
        <v>0.94</v>
      </c>
      <c r="Z42" s="7">
        <v>205</v>
      </c>
      <c r="AA42" s="2" t="s">
        <v>81</v>
      </c>
      <c r="AB42" s="2" t="s">
        <v>81</v>
      </c>
      <c r="AC42" s="2">
        <v>179</v>
      </c>
    </row>
    <row r="43" spans="1:29">
      <c r="A43" s="2">
        <v>15</v>
      </c>
      <c r="B43" s="2">
        <v>11</v>
      </c>
      <c r="C43" s="2">
        <v>5</v>
      </c>
      <c r="D43" s="2">
        <v>24</v>
      </c>
      <c r="E43" s="2">
        <v>0</v>
      </c>
      <c r="F43" s="2">
        <v>78</v>
      </c>
      <c r="G43" s="2">
        <v>0</v>
      </c>
      <c r="H43" s="2">
        <v>37</v>
      </c>
      <c r="I43" s="2">
        <v>0</v>
      </c>
      <c r="J43" s="2" t="s">
        <v>74</v>
      </c>
      <c r="K43" s="2">
        <v>0</v>
      </c>
      <c r="L43" s="2">
        <v>0</v>
      </c>
      <c r="N43" s="3">
        <f t="shared" si="15"/>
        <v>5788</v>
      </c>
      <c r="O43" s="4">
        <f t="shared" si="16"/>
        <v>0.36458333333333331</v>
      </c>
      <c r="P43" s="2">
        <f>HEX2DEC(I43&amp;H43)</f>
        <v>55</v>
      </c>
      <c r="Q43" s="2">
        <f t="shared" si="17"/>
        <v>1.2</v>
      </c>
      <c r="R43" s="2">
        <f t="shared" si="18"/>
        <v>31</v>
      </c>
      <c r="T43" s="2">
        <v>11294</v>
      </c>
      <c r="U43" s="2" t="s">
        <v>78</v>
      </c>
      <c r="V43" s="3">
        <v>42313</v>
      </c>
      <c r="W43" s="7">
        <v>915</v>
      </c>
      <c r="X43" s="6">
        <v>55</v>
      </c>
      <c r="Y43" s="7">
        <v>0.31</v>
      </c>
      <c r="Z43" s="7">
        <v>72</v>
      </c>
      <c r="AA43" s="2" t="s">
        <v>81</v>
      </c>
      <c r="AB43" s="2" t="s">
        <v>81</v>
      </c>
      <c r="AC43" s="2">
        <v>179</v>
      </c>
    </row>
    <row r="44" spans="1:29">
      <c r="A44" s="2">
        <v>15</v>
      </c>
      <c r="B44" s="2">
        <v>11</v>
      </c>
      <c r="C44" s="2">
        <v>5</v>
      </c>
      <c r="D44" s="2">
        <v>25</v>
      </c>
      <c r="E44" s="2">
        <v>0</v>
      </c>
      <c r="F44" s="2" t="s">
        <v>77</v>
      </c>
      <c r="G44" s="2">
        <v>0</v>
      </c>
      <c r="H44" s="2">
        <v>58</v>
      </c>
      <c r="I44" s="2">
        <v>0</v>
      </c>
      <c r="J44" s="2">
        <v>33</v>
      </c>
      <c r="K44" s="2">
        <v>0</v>
      </c>
      <c r="L44" s="2">
        <v>0</v>
      </c>
      <c r="N44" s="3">
        <f t="shared" si="15"/>
        <v>5788</v>
      </c>
      <c r="O44" s="4">
        <f t="shared" si="16"/>
        <v>0.375</v>
      </c>
      <c r="P44" s="2">
        <f>HEX2DEC(I44&amp;H44)</f>
        <v>88</v>
      </c>
      <c r="Q44" s="2">
        <f t="shared" si="17"/>
        <v>1.59</v>
      </c>
      <c r="R44" s="2">
        <f t="shared" si="18"/>
        <v>51</v>
      </c>
      <c r="T44" s="2">
        <v>11295</v>
      </c>
      <c r="U44" s="2" t="s">
        <v>78</v>
      </c>
      <c r="V44" s="3">
        <v>42313</v>
      </c>
      <c r="W44" s="7">
        <v>930</v>
      </c>
      <c r="X44" s="6">
        <v>88</v>
      </c>
      <c r="Y44" s="7">
        <v>0.51</v>
      </c>
      <c r="Z44" s="7">
        <v>95</v>
      </c>
      <c r="AA44" s="2" t="s">
        <v>81</v>
      </c>
      <c r="AB44" s="2" t="s">
        <v>81</v>
      </c>
      <c r="AC44" s="2">
        <v>179</v>
      </c>
    </row>
    <row r="45" spans="1:29">
      <c r="A45" s="2">
        <v>15</v>
      </c>
      <c r="B45" s="2">
        <v>11</v>
      </c>
      <c r="C45" s="2">
        <v>5</v>
      </c>
      <c r="D45" s="2">
        <v>26</v>
      </c>
      <c r="E45" s="2">
        <v>0</v>
      </c>
      <c r="F45" s="2" t="s">
        <v>74</v>
      </c>
      <c r="G45" s="2">
        <v>0</v>
      </c>
      <c r="H45" s="2">
        <v>13</v>
      </c>
      <c r="I45" s="2">
        <v>0</v>
      </c>
      <c r="J45" s="2" t="s">
        <v>45</v>
      </c>
      <c r="K45" s="2">
        <v>0</v>
      </c>
      <c r="L45" s="2">
        <v>0</v>
      </c>
      <c r="M45" s="2">
        <v>26</v>
      </c>
      <c r="N45" s="3">
        <f t="shared" si="15"/>
        <v>5788</v>
      </c>
      <c r="O45" s="4">
        <f t="shared" si="16"/>
        <v>0.38541666666666669</v>
      </c>
      <c r="P45" s="2">
        <f>HEX2DEC(I45&amp;H45)</f>
        <v>19</v>
      </c>
      <c r="Q45" s="2">
        <f t="shared" si="17"/>
        <v>0.31</v>
      </c>
      <c r="R45" s="2">
        <f t="shared" si="18"/>
        <v>11</v>
      </c>
      <c r="T45" s="2">
        <v>11296</v>
      </c>
      <c r="U45" s="2" t="s">
        <v>78</v>
      </c>
      <c r="V45" s="3">
        <v>42313</v>
      </c>
      <c r="W45" s="7">
        <v>945</v>
      </c>
      <c r="X45" s="6">
        <v>19</v>
      </c>
      <c r="Y45" s="7">
        <v>0.11</v>
      </c>
      <c r="Z45" s="7">
        <v>19</v>
      </c>
      <c r="AA45" s="2" t="s">
        <v>81</v>
      </c>
      <c r="AB45" s="2" t="s">
        <v>81</v>
      </c>
      <c r="AC45" s="2">
        <v>179</v>
      </c>
    </row>
    <row r="46" spans="1:29">
      <c r="A46" s="2">
        <v>15</v>
      </c>
      <c r="B46" s="2">
        <v>11</v>
      </c>
      <c r="C46" s="2">
        <v>5</v>
      </c>
      <c r="D46" s="2">
        <v>28</v>
      </c>
      <c r="E46" s="2">
        <v>0</v>
      </c>
      <c r="F46" s="2" t="s">
        <v>62</v>
      </c>
      <c r="G46" s="2">
        <v>0</v>
      </c>
      <c r="H46" s="2" t="s">
        <v>30</v>
      </c>
      <c r="I46" s="2">
        <v>0</v>
      </c>
      <c r="J46" s="2" t="s">
        <v>68</v>
      </c>
      <c r="K46" s="2">
        <v>0</v>
      </c>
      <c r="L46" s="2">
        <v>0</v>
      </c>
      <c r="N46" s="3">
        <f t="shared" si="15"/>
        <v>5788</v>
      </c>
      <c r="O46" s="4">
        <f t="shared" si="16"/>
        <v>0.40625</v>
      </c>
      <c r="P46" s="2">
        <f>HEX2DEC(I46&amp;H46)</f>
        <v>46</v>
      </c>
      <c r="Q46" s="2">
        <f t="shared" si="17"/>
        <v>0.92</v>
      </c>
      <c r="R46" s="2">
        <f t="shared" si="18"/>
        <v>27</v>
      </c>
      <c r="T46" s="2">
        <v>11297</v>
      </c>
      <c r="U46" s="2" t="s">
        <v>78</v>
      </c>
      <c r="V46" s="3">
        <v>42313</v>
      </c>
      <c r="W46" s="7">
        <v>1015</v>
      </c>
      <c r="X46" s="6">
        <v>46</v>
      </c>
      <c r="Y46" s="7">
        <v>0.27</v>
      </c>
      <c r="Z46" s="7">
        <v>55</v>
      </c>
      <c r="AA46" s="2" t="s">
        <v>81</v>
      </c>
      <c r="AB46" s="2" t="s">
        <v>81</v>
      </c>
      <c r="AC46" s="2">
        <v>179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Byler</dc:creator>
  <cp:lastModifiedBy>Dan Byler</cp:lastModifiedBy>
  <dcterms:created xsi:type="dcterms:W3CDTF">2015-10-30T09:52:26Z</dcterms:created>
  <dcterms:modified xsi:type="dcterms:W3CDTF">2015-11-05T03:51:39Z</dcterms:modified>
</cp:coreProperties>
</file>